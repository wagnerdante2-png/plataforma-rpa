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05735a1b7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ÉTRICA DE RESULTADOS" sheetId="34" r:id="R42abdb5a2bde4a53"/>
    <x:sheet xmlns:r="http://schemas.openxmlformats.org/officeDocument/2006/relationships" name="DESCONTOS" sheetId="7" r:id="Reb9491e32177471e"/>
    <x:sheet xmlns:r="http://schemas.openxmlformats.org/officeDocument/2006/relationships" name="ETIQUETAS" sheetId="35" r:id="R4d13337f17af40fd"/>
    <x:sheet xmlns:r="http://schemas.openxmlformats.org/officeDocument/2006/relationships" name="DIVERGÊNCIAS" sheetId="36" r:id="R64813770a5db464a"/>
    <x:sheet xmlns:r="http://schemas.openxmlformats.org/officeDocument/2006/relationships" name="SEM PREÇO" sheetId="37" r:id="R88c16ae1e83a4945"/>
    <x:sheet xmlns:r="http://schemas.openxmlformats.org/officeDocument/2006/relationships" name="CADASTRO DE LOJAS" sheetId="38" r:id="R39c479b0015a475e"/>
  </x:sheets>
</x:workbook>
</file>

<file path=xl/sharedStrings.xml><?xml version="1.0" encoding="utf-8"?>
<x:sst xmlns:x="http://schemas.openxmlformats.org/spreadsheetml/2006/main">
  <x:si>
    <x:t xml:space="preserve">LOJA</x:t>
  </x:si>
  <x:si>
    <x:t xml:space="preserve">chama</x:t>
  </x:si>
  <x:si>
    <x:t xml:space="preserve">raio</x:t>
  </x:si>
  <x:si>
    <x:t xml:space="preserve">oceano</x:t>
  </x:si>
  <x:si>
    <x:t xml:space="preserve">luz</x:t>
  </x:si>
  <x:si>
    <x:t xml:space="preserve">raizes</x:t>
  </x:si>
  <x:si>
    <x:t xml:space="preserve">jacare</x:t>
  </x:si>
  <x:si>
    <x:t xml:space="preserve">lobo</x:t>
  </x:si>
  <x:si>
    <x:t xml:space="preserve">aguia</x:t>
  </x:si>
</x:sst>
</file>

<file path=xl/styles.xml><?xml version="1.0" encoding="utf-8"?>
<x:styleSheet xmlns:x="http://schemas.openxmlformats.org/spreadsheetml/2006/main">
  <x:numFmts count="12">
    <x:numFmt numFmtId="164" formatCode="&quot;R$&quot;\ #,##0.00"/>
    <x:numFmt numFmtId="165" formatCode="[$-416]mmmm\-yy;@"/>
    <x:numFmt numFmtId="166" formatCode="&quot;R$&quot;\ #,##0"/>
    <x:numFmt numFmtId="167" formatCode="\R\$\ #,##0.00"/>
    <x:numFmt numFmtId="200" formatCode="mmm-yy"/>
    <x:numFmt numFmtId="201" formatCode="#,##0"/>
    <x:numFmt numFmtId="202" formatCode="dd/mm/yyyy"/>
    <x:numFmt numFmtId="203" formatCode="R$ #,##0.00"/>
    <x:numFmt numFmtId="204" formatCode="0.0%"/>
    <x:numFmt numFmtId="205" formatCode="0"/>
    <x:numFmt numFmtId="206" formatCode="@"/>
    <x:numFmt numFmtId="207" formatCode="[Red]#,##0;[Red]-#,##0;0"/>
  </x:numFmts>
  <x:fonts count="38">
    <x:font>
      <x:sz val="10"/>
      <x:color indexed="8"/>
      <x:name val="ARIAL"/>
    </x:font>
    <x:font>
      <x:sz val="10"/>
      <x:color indexed="8"/>
      <x:name val="Arial"/>
    </x:font>
    <x:font>
      <x:sz val="10"/>
      <x:color theme="1"/>
      <x:name val="Aptos Narrow"/>
    </x:font>
    <x:font>
      <x:sz val="10"/>
      <x:name val="Aptos Narrow"/>
    </x:font>
    <x:font>
      <x:sz val="10"/>
      <x:color indexed="8"/>
      <x:name val="Aptos Narrow"/>
    </x:font>
    <x:font>
      <x:b/>
      <x:sz val="10"/>
      <x:color theme="0"/>
      <x:name val="Aptos Narrow"/>
    </x:font>
    <x:font>
      <x:b/>
      <x:sz val="10"/>
      <x:color theme="0"/>
      <x:name val="Arial"/>
    </x:font>
    <x:font>
      <x:sz val="10"/>
      <x:color theme="0"/>
      <x:name val="Arial"/>
    </x:font>
    <x:font>
      <x:sz val="8"/>
      <x:name val="Arial"/>
    </x:font>
    <x:font>
      <x:b/>
      <x:sz val="10"/>
      <x:color rgb="FFFF0000"/>
      <x:name val="Arial"/>
    </x:font>
    <x:font>
      <x:sz val="10"/>
      <x:color theme="1"/>
      <x:name val="Arial"/>
    </x:font>
    <x:font>
      <x:b/>
      <x:sz val="12"/>
      <x:color theme="0"/>
      <x:name val="Arial"/>
    </x:font>
    <x:font>
      <x:sz val="10"/>
      <x:color rgb="FFFF0000"/>
      <x:name val="Arial"/>
    </x:font>
    <x:font>
      <x:b/>
      <x:sz val="12"/>
      <x:color indexed="8"/>
      <x:name val="Arial"/>
    </x:font>
    <x:font>
      <x:b/>
      <x:sz val="11"/>
      <x:color theme="0"/>
      <x:name val="Arial"/>
    </x:font>
    <x:font>
      <x:b/>
      <x:sz val="10"/>
      <x:color theme="1"/>
      <x:name val="Arial"/>
    </x:font>
    <x:font>
      <x:sz val="8"/>
      <x:name val="Arial"/>
    </x:font>
    <x:font>
      <x:b/>
      <x:sz val="16"/>
      <x:color rgb="FFFFFFFF"/>
      <x:name val="ARIAL"/>
    </x:font>
    <x:font>
      <x:i/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0"/>
      <x:color rgb="FF16794B"/>
      <x:name val="ARIAL"/>
    </x:font>
    <x:font>
      <x:b/>
      <x:sz val="10"/>
      <x:color rgb="FF14263D"/>
      <x:name val="ARIAL"/>
    </x:font>
    <x:font>
      <x:sz val="9"/>
      <x:color rgb="FF667085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1"/>
      <x:color rgb="FF172033"/>
      <x:name val="Arial"/>
    </x:font>
    <x:font>
      <x:b/>
      <x:sz val="11"/>
      <x:color rgb="FF14263D"/>
      <x:name val="Arial"/>
    </x:font>
    <x:font>
      <x:b/>
      <x:sz val="9"/>
      <x:color rgb="FFFFFFFF"/>
      <x:name val="Aptos Narrow"/>
    </x:font>
    <x:font>
      <x:sz val="9"/>
      <x:color rgb="FF172033"/>
      <x:name val="Aptos Narrow"/>
    </x:font>
    <x:font>
      <x:sz val="9"/>
      <x:color rgb="FF172033"/>
      <x:name val="ARIAL"/>
    </x:font>
    <x:font>
      <x:b/>
      <x:sz val="9"/>
      <x:color rgb="FFFFFFFF"/>
      <x:name val="ARIAL"/>
    </x:font>
    <x:font>
      <x:sz val="1"/>
      <x:color rgb="FFFFFFFF"/>
      <x:name val="ARIAL"/>
    </x:font>
    <x:font>
      <x:b/>
      <x:sz val="9"/>
      <x:color rgb="FFFFFFFF"/>
      <x:name val="Arial"/>
    </x:font>
    <x:font>
      <x:b/>
      <x:sz val="9"/>
      <x:color rgb="FF172033"/>
      <x:name val="Arial"/>
    </x:font>
    <x:font>
      <x:sz val="9"/>
      <x:color rgb="FF172033"/>
      <x:name val="Arial"/>
    </x:font>
    <x:font>
      <x:b/>
      <x:sz val="9"/>
      <x:color rgb="FF14263D"/>
      <x:name val="ARIAL"/>
    </x:font>
    <x:font>
      <x:b/>
      <x:sz val="9"/>
      <x:color rgb="FF14263D"/>
      <x:name val="Arial"/>
    </x:font>
  </x:fonts>
  <x:fills count="30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0"/>
      </x:patternFill>
    </x:fill>
    <x:fill>
      <x:patternFill patternType="solid">
        <x:fgColor theme="4" tint="-0.49998"/>
      </x:patternFill>
    </x:fill>
    <x:fill>
      <x:patternFill patternType="solid">
        <x:fgColor theme="2" tint="-0.74999"/>
      </x:patternFill>
    </x:fill>
    <x:fill>
      <x:patternFill patternType="solid">
        <x:fgColor theme="8" tint="-0.24998"/>
      </x:patternFill>
    </x:fill>
    <x:fill>
      <x:patternFill patternType="solid">
        <x:fgColor theme="2" tint="-0.24998"/>
      </x:patternFill>
    </x:fill>
    <x:fill>
      <x:patternFill patternType="solid">
        <x:fgColor rgb="FF0070C0"/>
      </x:patternFill>
    </x:fill>
    <x:fill>
      <x:patternFill patternType="solid">
        <x:fgColor theme="1" tint="0.04999"/>
      </x:patternFill>
    </x:fill>
    <x:fill>
      <x:patternFill patternType="solid">
        <x:fgColor theme="2" tint="-0.49998"/>
      </x:patternFill>
    </x:fill>
    <x:fill>
      <x:patternFill patternType="solid">
        <x:fgColor rgb="FFFFFFCC"/>
      </x:patternFill>
    </x:fill>
    <x:fill>
      <x:patternFill patternType="solid">
        <x:fgColor rgb="FF0B1628"/>
      </x:patternFill>
    </x:fill>
    <x:fill>
      <x:patternFill patternType="solid">
        <x:fgColor rgb="FFEDF1F6"/>
      </x:patternFill>
    </x:fill>
    <x:fill>
      <x:patternFill patternType="solid">
        <x:fgColor rgb="FF14263D"/>
      </x:patternFill>
    </x:fill>
    <x:fill>
      <x:patternFill patternType="solid">
        <x:fgColor rgb="FF14263D"/>
      </x:patternFill>
    </x:fill>
    <x:fill>
      <x:patternFill patternType="solid">
        <x:fgColor rgb="FF0B1628"/>
      </x:patternFill>
    </x:fill>
    <x:fill>
      <x:patternFill patternType="solid">
        <x:fgColor rgb="FFF4E8CD"/>
      </x:patternFill>
    </x:fill>
    <x:fill>
      <x:patternFill patternType="solid">
        <x:fgColor rgb="FFEDF1F6"/>
      </x:patternFill>
    </x:fill>
    <x:fill>
      <x:patternFill patternType="solid">
        <x:fgColor rgb="FF0F3447"/>
      </x:patternFill>
    </x:fill>
    <x:fill>
      <x:patternFill patternType="solid">
        <x:fgColor rgb="FF1E3A5F"/>
      </x:patternFill>
    </x:fill>
    <x:fill>
      <x:patternFill patternType="solid">
        <x:fgColor rgb="FF1E5863"/>
      </x:patternFill>
    </x:fill>
    <x:fill>
      <x:patternFill patternType="solid">
        <x:fgColor rgb="FF725B2B"/>
      </x:patternFill>
    </x:fill>
    <x:fill>
      <x:patternFill patternType="solid">
        <x:fgColor rgb="FFFFFFFF"/>
      </x:patternFill>
    </x:fill>
    <x:fill>
      <x:patternFill patternType="solid">
        <x:fgColor rgb="FF0B1628"/>
      </x:patternFill>
    </x:fill>
    <x:fill>
      <x:patternFill patternType="solid">
        <x:fgColor rgb="FFEAF0F6"/>
      </x:patternFill>
    </x:fill>
    <x:fill>
      <x:patternFill patternType="solid">
        <x:fgColor rgb="FF14263D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48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theme="0"/>
      </x:top>
    </x:border>
    <x:border>
      <x:top style="thin">
        <x:color theme="0"/>
      </x:top>
      <x:bottom style="thin">
        <x:color theme="0"/>
      </x:bottom>
    </x:border>
    <x:border>
      <x:bottom style="thin">
        <x:color theme="0"/>
      </x:bottom>
    </x:border>
    <x:border>
      <x:right style="thin">
        <x:color indexed="64"/>
      </x:right>
      <x:bottom style="thin">
        <x:color theme="0"/>
      </x:bottom>
    </x:border>
    <x:border>
      <x:right style="thin">
        <x:color indexed="64"/>
      </x:right>
      <x:top style="thin">
        <x:color theme="0"/>
      </x:top>
      <x:bottom style="thin">
        <x:color theme="0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theme="0"/>
      </x:top>
    </x:border>
    <x:border>
      <x:bottom style="thin">
        <x:color theme="0"/>
      </x:bottom>
    </x:border>
    <x:border>
      <x:top style="thin">
        <x:color theme="0"/>
      </x:top>
      <x:bottom style="thin">
        <x:color theme="0"/>
      </x:bottom>
    </x:border>
    <x:border>
      <x:right style="thin">
        <x:color indexed="64"/>
      </x:right>
      <x:bottom style="thin">
        <x:color theme="0"/>
      </x:bottom>
    </x:border>
    <x:border>
      <x:right style="thin">
        <x:color indexed="64"/>
      </x:right>
      <x:top style="thin">
        <x:color theme="0"/>
      </x:top>
      <x:bottom style="thin">
        <x:color theme="0"/>
      </x:bottom>
    </x:border>
    <x:border>
      <x:left style="thin">
        <x:color indexed="64"/>
      </x:left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bottom style="thin">
        <x:color rgb="FFC6A15B"/>
      </x:bottom>
    </x:border>
    <x:border>
      <x:bottom style="thin">
        <x:color rgb="FFC6A15B"/>
      </x:bottom>
    </x:border>
    <x:border>
      <x:bottom style="hair">
        <x:color rgb="FFD9E0E8"/>
      </x:bottom>
    </x:border>
    <x:border>
      <x:bottom style="hair">
        <x:color rgb="FFD9E0E8"/>
      </x:bottom>
    </x:border>
    <x:border>
      <x:bottom style="medium">
        <x:color rgb="FFC6A15B"/>
      </x:bottom>
    </x:border>
    <x:border>
      <x:left style="thin">
        <x:color indexed="64"/>
      </x:left>
      <x:right style="hair">
        <x:color rgb="FFE8ECF1"/>
      </x:right>
      <x:top style="thin">
        <x:color indexed="64"/>
      </x:top>
      <x:bottom style="thin">
        <x:color indexed="64"/>
      </x:bottom>
    </x:border>
    <x:border>
      <x:right style="hair">
        <x:color rgb="FFE8ECF1"/>
      </x:right>
    </x:border>
    <x:border>
      <x:left style="thin">
        <x:color indexed="64"/>
      </x:left>
      <x:bottom style="hair">
        <x:color rgb="FFD6DEE8"/>
      </x:bottom>
    </x:border>
    <x:border>
      <x:bottom style="hair">
        <x:color rgb="FFD6DEE8"/>
      </x:bottom>
    </x:border>
    <x:border>
      <x:right style="hair">
        <x:color rgb="FFE8ECF1"/>
      </x:right>
      <x:bottom style="hair">
        <x:color rgb="FFD6DEE8"/>
      </x:bottom>
    </x:border>
    <x:border>
      <x:top style="medium">
        <x:color rgb="FFC6A15B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rgb="FFC6A15B"/>
      </x:bottom>
    </x:border>
    <x:border>
      <x:left style="thin">
        <x:color indexed="64"/>
      </x:left>
      <x:right style="hair">
        <x:color rgb="FFE9EDF2"/>
      </x:right>
      <x:top style="thin">
        <x:color indexed="64"/>
      </x:top>
      <x:bottom style="thin">
        <x:color indexed="64"/>
      </x:bottom>
    </x:border>
    <x:border>
      <x:right style="hair">
        <x:color rgb="FFE9EDF2"/>
      </x:right>
    </x:border>
    <x:border>
      <x:right style="hair">
        <x:color rgb="FFE9EDF2"/>
      </x:right>
      <x:bottom style="hair">
        <x:color rgb="FFD6DEE8"/>
      </x:bottom>
    </x:border>
    <x:border>
      <x:left style="thin">
        <x:color indexed="64"/>
      </x:left>
      <x:right style="thin">
        <x:color rgb="FFC4CEDA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C4CEDA"/>
      </x:right>
    </x:border>
    <x:border>
      <x:left style="thin">
        <x:color indexed="64"/>
      </x:left>
      <x:right style="thin">
        <x:color rgb="FFC4CEDA"/>
      </x:right>
      <x:bottom style="hair">
        <x:color rgb="FFD6DEE8"/>
      </x:bottom>
    </x:border>
    <x:border>
      <x:left style="thin">
        <x:color indexed="64"/>
      </x:left>
      <x:right style="hair">
        <x:color rgb="FFE9EDF2"/>
      </x:right>
      <x:top style="thin">
        <x:color indexed="64"/>
      </x:top>
    </x:border>
    <x:border>
      <x:left style="thin">
        <x:color indexed="64"/>
      </x:left>
      <x:right style="thin">
        <x:color rgb="FFC4CEDA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hair">
        <x:color rgb="FFD6DEE8"/>
      </x:bottom>
    </x:border>
    <x:border>
      <x:left style="thin">
        <x:color indexed="64"/>
      </x:left>
      <x:right style="hair">
        <x:color rgb="FFE9EDF2"/>
      </x:right>
      <x:top style="thin">
        <x:color indexed="64"/>
      </x:top>
      <x:bottom style="hair">
        <x:color rgb="FFD6DEE8"/>
      </x:bottom>
    </x:border>
  </x:borders>
  <x:cellStyleXfs count="1">
    <x:xf numFmtId="0" fontId="0" fillId="0" borderId="0">
      <x:alignment vertical="top"/>
    </x:xf>
  </x:cellStyleXfs>
  <x:cellXfs count="725">
    <x:xf numFmtId="0" fontId="0" fillId="0" borderId="0" xfId="0">
      <x:alignment vertical="top"/>
    </x:xf>
    <x:xf numFmtId="0" fontId="2" fillId="0" borderId="1" xfId="0" applyFont="1" applyBorder="1" applyAlignment="1">
      <x:alignment horizontal="left" vertical="center"/>
    </x:xf>
    <x:xf numFmtId="0" fontId="3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0" fillId="0" borderId="1" xfId="0" applyBorder="1" applyAlignment="1">
      <x:alignment horizontal="center" vertical="top"/>
    </x:xf>
    <x:xf numFmtId="3" fontId="0" fillId="0" borderId="1" xfId="0" applyNumberFormat="1" applyBorder="1" applyAlignment="1">
      <x:alignment horizontal="center" vertical="top"/>
    </x:xf>
    <x:xf numFmtId="0" fontId="2" fillId="3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horizontal="center" vertical="center"/>
    </x:xf>
    <x:xf numFmtId="3" fontId="0" fillId="3" borderId="1" xfId="0" applyNumberFormat="1" applyFill="1" applyBorder="1" applyAlignment="1">
      <x:alignment horizontal="center" vertical="top"/>
    </x:xf>
    <x:xf numFmtId="0" fontId="0" fillId="3" borderId="1" xfId="0" applyFill="1" applyBorder="1" applyAlignment="1">
      <x:alignment horizontal="center" vertical="top"/>
    </x:xf>
    <x:xf numFmtId="0" fontId="6" fillId="4" borderId="1" xfId="0" applyFont="1" applyFill="1" applyBorder="1" applyAlignment="1">
      <x:alignment horizontal="center" vertical="top"/>
    </x:xf>
    <x:xf numFmtId="0" fontId="12" fillId="0" borderId="0" xfId="0" applyFont="1">
      <x:alignment vertical="top"/>
    </x:xf>
    <x:xf numFmtId="3" fontId="10" fillId="3" borderId="1" xfId="0" applyNumberFormat="1" applyFont="1" applyFill="1" applyBorder="1" applyAlignment="1">
      <x:alignment horizontal="center" vertical="top"/>
    </x:xf>
    <x:xf numFmtId="0" fontId="0" fillId="0" borderId="1" xfId="0" applyBorder="1">
      <x:alignment vertical="top"/>
    </x:xf>
    <x:xf numFmtId="0" fontId="0" fillId="4" borderId="1" xfId="0" applyFill="1" applyBorder="1" applyAlignment="1">
      <x:alignment horizontal="center" vertical="top"/>
    </x:xf>
    <x:xf numFmtId="17" fontId="6" fillId="4" borderId="1" xfId="0" applyNumberFormat="1" applyFont="1" applyFill="1" applyBorder="1" applyAlignment="1">
      <x:alignment horizontal="center" vertical="top"/>
    </x:xf>
    <x:xf numFmtId="164" fontId="0" fillId="0" borderId="1" xfId="0" applyNumberFormat="1" applyBorder="1" applyAlignment="1">
      <x:alignment horizontal="center" vertical="top"/>
    </x:xf>
    <x:xf numFmtId="164" fontId="0" fillId="4" borderId="1" xfId="0" applyNumberFormat="1" applyFill="1" applyBorder="1" applyAlignment="1">
      <x:alignment horizontal="center" vertical="top"/>
    </x:xf>
    <x:xf numFmtId="3" fontId="0" fillId="4" borderId="1" xfId="0" applyNumberFormat="1" applyFill="1" applyBorder="1" applyAlignment="1">
      <x:alignment horizontal="center" vertical="top"/>
    </x:xf>
    <x:xf numFmtId="3" fontId="9" fillId="3" borderId="1" xfId="0" applyNumberFormat="1" applyFont="1" applyFill="1" applyBorder="1" applyAlignment="1">
      <x:alignment horizontal="center" vertical="top"/>
    </x:xf>
    <x:xf numFmtId="3" fontId="9" fillId="0" borderId="1" xfId="0" applyNumberFormat="1" applyFont="1" applyBorder="1" applyAlignment="1">
      <x:alignment horizontal="center" vertical="top"/>
    </x:xf>
    <x:xf numFmtId="0" fontId="1" fillId="0" borderId="0" xfId="0" applyFont="1">
      <x:alignment vertical="top"/>
    </x:xf>
    <x:xf numFmtId="0" fontId="11" fillId="5" borderId="1" xfId="0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3" fontId="0" fillId="3" borderId="1" xfId="0" applyNumberFormat="1" applyFill="1" applyBorder="1" applyAlignment="1">
      <x:alignment horizontal="center" vertical="center"/>
    </x:xf>
    <x:xf numFmtId="164" fontId="0" fillId="3" borderId="1" xfId="0" applyNumberFormat="1" applyFill="1" applyBorder="1" applyAlignment="1">
      <x:alignment horizontal="center" vertical="center"/>
    </x:xf>
    <x:xf numFmtId="3" fontId="0" fillId="0" borderId="1" xfId="0" applyNumberFormat="1" applyBorder="1" applyAlignment="1">
      <x:alignment horizontal="center" vertical="center"/>
    </x:xf>
    <x:xf numFmtId="9" fontId="0" fillId="0" borderId="0" xfId="0" applyNumberFormat="1">
      <x:alignment vertical="top"/>
    </x:xf>
    <x:xf numFmtId="0" fontId="5" fillId="8" borderId="1" xfId="0" applyFont="1" applyFill="1" applyBorder="1" applyAlignment="1">
      <x:alignment horizontal="center" vertical="center" wrapText="1"/>
    </x:xf>
    <x:xf numFmtId="9" fontId="0" fillId="0" borderId="1" xfId="0" applyNumberFormat="1" applyBorder="1" applyAlignment="1">
      <x:alignment horizontal="center" vertical="center"/>
    </x:xf>
    <x:xf numFmtId="0" fontId="0" fillId="9" borderId="0" xfId="0" applyFill="1">
      <x:alignment vertical="top"/>
    </x:xf>
    <x:xf numFmtId="164" fontId="0" fillId="0" borderId="0" xfId="0" applyNumberFormat="1">
      <x:alignment vertical="top"/>
    </x:xf>
    <x:xf numFmtId="1" fontId="0" fillId="0" borderId="1" xfId="0" applyNumberFormat="1" applyBorder="1" applyAlignment="1">
      <x:alignment horizontal="center"/>
    </x:xf>
    <x:xf numFmtId="164" fontId="0" fillId="0" borderId="1" xfId="0" applyNumberFormat="1" applyBorder="1" applyAlignment="1">
      <x:alignment horizontal="center"/>
    </x:xf>
    <x:xf numFmtId="164" fontId="0" fillId="0" borderId="0" xfId="0" applyNumberFormat="1" applyAlignment="1">
      <x:alignment horizontal="center"/>
    </x:xf>
    <x:xf numFmtId="0" fontId="0" fillId="4" borderId="0" xfId="0" applyFill="1" applyAlignment="1">
      <x:alignment horizontal="center" vertical="top"/>
    </x:xf>
    <x:xf numFmtId="164" fontId="0" fillId="4" borderId="0" xfId="0" applyNumberFormat="1" applyFill="1" applyAlignment="1">
      <x:alignment horizontal="center" vertical="top"/>
    </x:xf>
    <x:xf numFmtId="0" fontId="0" fillId="4" borderId="4" xfId="0" applyFill="1" applyBorder="1" applyAlignment="1">
      <x:alignment horizontal="center" vertical="top"/>
    </x:xf>
    <x:xf numFmtId="164" fontId="0" fillId="0" borderId="3" xfId="0" applyNumberFormat="1" applyBorder="1" applyAlignment="1">
      <x:alignment horizontal="center"/>
    </x:xf>
    <x:xf numFmtId="0" fontId="0" fillId="0" borderId="3" xfId="0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164" fontId="7" fillId="0" borderId="0" xfId="0" applyNumberFormat="1" applyFont="1">
      <x:alignment vertical="top"/>
    </x:xf>
    <x:xf numFmtId="0" fontId="7" fillId="0" borderId="0" xfId="0" applyFont="1">
      <x:alignment vertical="top"/>
    </x:xf>
    <x:xf numFmtId="9" fontId="7" fillId="0" borderId="0" xfId="0" applyNumberFormat="1" applyFont="1">
      <x:alignment vertical="top"/>
    </x:xf>
    <x:xf numFmtId="3" fontId="7" fillId="0" borderId="0" xfId="0" applyNumberFormat="1" applyFont="1">
      <x:alignment vertical="top"/>
    </x:xf>
    <x:xf numFmtId="165" fontId="7" fillId="0" borderId="0" xfId="0" applyNumberFormat="1" applyFont="1">
      <x:alignment vertical="top"/>
    </x:xf>
    <x:xf numFmtId="0" fontId="6" fillId="4" borderId="0" xfId="0" applyFont="1" applyFill="1" applyAlignment="1">
      <x:alignment horizontal="center" vertical="top"/>
    </x:xf>
    <x:xf numFmtId="3" fontId="6" fillId="4" borderId="0" xfId="0" applyNumberFormat="1" applyFont="1" applyFill="1" applyAlignment="1">
      <x:alignment horizontal="center" vertical="center"/>
    </x:xf>
    <x:xf numFmtId="166" fontId="6" fillId="4" borderId="0" xfId="0" applyNumberFormat="1" applyFont="1" applyFill="1" applyAlignment="1">
      <x:alignment horizontal="center" vertical="center"/>
    </x:xf>
    <x:xf numFmtId="0" fontId="6" fillId="4" borderId="0" xfId="0" applyFont="1" applyFill="1" applyAlignment="1">
      <x:alignment horizontal="left" vertical="top"/>
    </x:xf>
    <x:xf numFmtId="3" fontId="15" fillId="3" borderId="0" xfId="0" applyNumberFormat="1" applyFont="1" applyFill="1" applyAlignment="1">
      <x:alignment horizontal="center" vertical="center"/>
    </x:xf>
    <x:xf numFmtId="17" fontId="7" fillId="0" borderId="0" xfId="0" applyNumberFormat="1" applyFont="1">
      <x:alignment vertical="top"/>
    </x:xf>
    <x:xf numFmtId="0" fontId="2" fillId="3" borderId="5" xfId="0" applyFont="1" applyFill="1" applyBorder="1" applyAlignment="1">
      <x:alignment horizontal="left" vertical="center"/>
    </x:xf>
    <x:xf numFmtId="1" fontId="7" fillId="0" borderId="0" xfId="0" applyNumberFormat="1" applyFont="1">
      <x:alignment vertical="top"/>
    </x:xf>
    <x:xf numFmtId="0" fontId="6" fillId="4" borderId="6" xfId="0" applyFont="1" applyFill="1" applyBorder="1" applyAlignment="1">
      <x:alignment horizontal="left" vertical="top"/>
    </x:xf>
    <x:xf numFmtId="0" fontId="6" fillId="4" borderId="6" xfId="0" applyFont="1" applyFill="1" applyBorder="1" applyAlignment="1">
      <x:alignment horizontal="center" vertical="top"/>
    </x:xf>
    <x:xf numFmtId="3" fontId="6" fillId="4" borderId="6" xfId="0" applyNumberFormat="1" applyFont="1" applyFill="1" applyBorder="1" applyAlignment="1">
      <x:alignment horizontal="center" vertical="center"/>
    </x:xf>
    <x:xf numFmtId="3" fontId="6" fillId="4" borderId="8" xfId="0" applyNumberFormat="1" applyFont="1" applyFill="1" applyBorder="1" applyAlignment="1">
      <x:alignment horizontal="center" vertical="center"/>
    </x:xf>
    <x:xf numFmtId="3" fontId="6" fillId="4" borderId="7" xfId="0" applyNumberFormat="1" applyFont="1" applyFill="1" applyBorder="1" applyAlignment="1">
      <x:alignment horizontal="center" vertical="center"/>
    </x:xf>
    <x:xf numFmtId="3" fontId="6" fillId="4" borderId="9" xfId="0" applyNumberFormat="1" applyFont="1" applyFill="1" applyBorder="1" applyAlignment="1">
      <x:alignment horizontal="center" vertical="center"/>
    </x:xf>
    <x:xf numFmtId="3" fontId="6" fillId="4" borderId="10" xfId="0" applyNumberFormat="1" applyFont="1" applyFill="1" applyBorder="1" applyAlignment="1">
      <x:alignment horizontal="center" vertical="center"/>
    </x:xf>
    <x:xf numFmtId="0" fontId="6" fillId="4" borderId="7" xfId="0" applyFont="1" applyFill="1" applyBorder="1" applyAlignment="1">
      <x:alignment horizontal="center" vertical="top"/>
    </x:xf>
    <x:xf numFmtId="166" fontId="6" fillId="4" borderId="6" xfId="0" applyNumberFormat="1" applyFont="1" applyFill="1" applyBorder="1" applyAlignment="1">
      <x:alignment horizontal="center" vertical="center"/>
    </x:xf>
    <x:xf numFmtId="3" fontId="10" fillId="0" borderId="1" xfId="0" applyNumberFormat="1" applyFont="1" applyBorder="1" applyAlignment="1">
      <x:alignment horizontal="center" vertical="top"/>
    </x:xf>
    <x:xf numFmtId="0" fontId="0" fillId="3" borderId="5" xfId="0" applyFill="1" applyBorder="1" applyAlignment="1">
      <x:alignment horizontal="center" vertical="top"/>
    </x:xf>
    <x:xf numFmtId="164" fontId="0" fillId="0" borderId="5" xfId="0" applyNumberFormat="1" applyBorder="1" applyAlignment="1">
      <x:alignment horizontal="center"/>
    </x:xf>
    <x:xf numFmtId="164" fontId="0" fillId="0" borderId="5" xfId="0" applyNumberFormat="1" applyBorder="1" applyAlignment="1">
      <x:alignment horizontal="center" vertical="top"/>
    </x:xf>
    <x:xf numFmtId="1" fontId="0" fillId="0" borderId="5" xfId="0" applyNumberFormat="1" applyBorder="1" applyAlignment="1">
      <x:alignment horizontal="center"/>
    </x:xf>
    <x:xf numFmtId="0" fontId="0" fillId="0" borderId="5" xfId="0" applyBorder="1">
      <x:alignment vertical="top"/>
    </x:xf>
    <x:xf numFmtId="3" fontId="0" fillId="4" borderId="5" xfId="0" applyNumberFormat="1" applyFill="1" applyBorder="1" applyAlignment="1">
      <x:alignment horizontal="center" vertical="top"/>
    </x:xf>
    <x:xf numFmtId="3" fontId="0" fillId="0" borderId="5" xfId="0" applyNumberFormat="1" applyBorder="1" applyAlignment="1">
      <x:alignment horizontal="center" vertical="top"/>
    </x:xf>
    <x:xf numFmtId="3" fontId="0" fillId="0" borderId="1" xfId="0" applyNumberFormat="1" applyBorder="1" applyAlignment="1">
      <x:alignment horizontal="center"/>
    </x:xf>
    <x:xf numFmtId="1" fontId="0" fillId="4" borderId="1" xfId="0" applyNumberFormat="1" applyFill="1" applyBorder="1" applyAlignment="1">
      <x:alignment horizontal="center"/>
    </x:xf>
    <x:xf numFmtId="164" fontId="0" fillId="4" borderId="1" xfId="0" applyNumberFormat="1" applyFill="1" applyBorder="1" applyAlignment="1">
      <x:alignment horizontal="center"/>
    </x:xf>
    <x:xf numFmtId="167" fontId="0" fillId="0" borderId="1" xfId="0" applyNumberFormat="1" applyBorder="1" applyAlignment="1">
      <x:alignment horizontal="center"/>
    </x:xf>
    <x:xf numFmtId="0" fontId="0" fillId="0" borderId="1" xfId="0" applyBorder="1" applyAlignment="1">
      <x:alignment horizontal="center"/>
    </x:xf>
    <x:xf numFmtId="0" fontId="6" fillId="10" borderId="0" xfId="0" applyFont="1" applyFill="1">
      <x:alignment vertical="top"/>
    </x:xf>
    <x:xf numFmtId="0" fontId="14" fillId="5" borderId="2" xfId="0" applyFont="1" applyFill="1" applyBorder="1" applyAlignment="1">
      <x:alignment vertical="center"/>
    </x:xf>
    <x:xf numFmtId="0" fontId="14" fillId="5" borderId="0" xfId="0" applyFont="1" applyFill="1" applyAlignment="1">
      <x:alignment vertical="center"/>
    </x:xf>
    <x:xf numFmtId="0" fontId="1" fillId="0" borderId="1" xfId="0" applyFont="1" applyBorder="1" applyAlignment="1">
      <x:alignment horizontal="center" vertical="center" wrapText="1"/>
    </x:xf>
    <x:xf numFmtId="0" fontId="1" fillId="0" borderId="5" xfId="0" applyFont="1" applyBorder="1" applyAlignment="1">
      <x:alignment horizontal="center" vertical="center" wrapText="1"/>
    </x:xf>
    <x:xf numFmtId="0" fontId="0" fillId="4" borderId="1" xfId="0" applyFill="1" applyBorder="1">
      <x:alignment vertical="top"/>
    </x:xf>
    <x:xf numFmtId="0" fontId="0" fillId="4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167" fontId="0" fillId="11" borderId="1" xfId="0" applyNumberFormat="1" applyFill="1" applyBorder="1" applyAlignment="1">
      <x:alignment horizontal="center"/>
    </x:xf>
    <x:xf numFmtId="164" fontId="0" fillId="11" borderId="1" xfId="0" applyNumberFormat="1" applyFill="1" applyBorder="1" applyAlignment="1">
      <x:alignment horizontal="center" vertical="top"/>
    </x:xf>
    <x:xf numFmtId="0" fontId="0" fillId="0" borderId="5" xfId="0" applyBorder="1" applyAlignment="1">
      <x:alignment horizontal="center" vertical="top"/>
    </x:xf>
    <x:xf numFmtId="0" fontId="0" fillId="11" borderId="1" xfId="0" applyFill="1" applyBorder="1" applyAlignment="1">
      <x:alignment horizontal="center" vertical="top"/>
    </x:xf>
    <x:xf numFmtId="3" fontId="6" fillId="10" borderId="11" xfId="0" applyNumberFormat="1" applyFont="1" applyFill="1" applyBorder="1" applyAlignment="1">
      <x:alignment horizontal="center" vertical="center"/>
    </x:xf>
    <x:xf numFmtId="9" fontId="0" fillId="0" borderId="12" xfId="0" applyNumberFormat="1" applyBorder="1" applyAlignment="1">
      <x:alignment horizontal="center" vertical="center"/>
    </x:xf>
    <x:xf numFmtId="0" fontId="15" fillId="3" borderId="0" xfId="0" applyFont="1" applyFill="1" applyAlignment="1">
      <x:alignment horizontal="left" vertical="top"/>
    </x:xf>
    <x:xf numFmtId="165" fontId="13" fillId="7" borderId="3" xfId="0" applyNumberFormat="1" applyFont="1" applyFill="1" applyBorder="1" applyAlignment="1">
      <x:alignment horizontal="center" vertical="center"/>
    </x:xf>
    <x:xf numFmtId="165" fontId="13" fillId="7" borderId="4" xfId="0" applyNumberFormat="1" applyFont="1" applyFill="1" applyBorder="1" applyAlignment="1">
      <x:alignment horizontal="center" vertical="center"/>
    </x:xf>
    <x:xf numFmtId="0" fontId="0" fillId="9" borderId="0" xfId="0" applyFill="1" applyAlignment="1">
      <x:alignment horizontal="center" vertical="top"/>
    </x:xf>
    <x:xf numFmtId="0" fontId="0" fillId="0" borderId="13" xfId="0" applyNumberFormat="1" applyFont="1" applyFill="1" applyBorder="1" applyAlignment="1">
      <x:alignment vertical="top"/>
    </x:xf>
    <x:xf numFmtId="0" fontId="2" fillId="0" borderId="14" xfId="0" applyNumberFormat="1" applyFont="1" applyFill="1" applyBorder="1" applyAlignment="1">
      <x:alignment horizontal="left" vertical="center"/>
    </x:xf>
    <x:xf numFmtId="0" fontId="3" fillId="0" borderId="14" xfId="0" applyNumberFormat="1" applyFont="1" applyFill="1" applyBorder="1" applyAlignment="1">
      <x:alignment horizontal="left" vertical="center"/>
    </x:xf>
    <x:xf numFmtId="0" fontId="4" fillId="0" borderId="14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/>
    </x:xf>
    <x:xf numFmtId="3" fontId="0" fillId="0" borderId="14" xfId="0" applyNumberFormat="1" applyFont="1" applyFill="1" applyBorder="1" applyAlignment="1">
      <x:alignment horizontal="center" vertical="top"/>
    </x:xf>
    <x:xf numFmtId="0" fontId="2" fillId="3" borderId="14" xfId="0" applyNumberFormat="1" applyFont="1" applyFill="1" applyBorder="1" applyAlignment="1">
      <x:alignment horizontal="left" vertical="center"/>
    </x:xf>
    <x:xf numFmtId="0" fontId="2" fillId="3" borderId="14" xfId="0" applyNumberFormat="1" applyFont="1" applyFill="1" applyBorder="1" applyAlignment="1">
      <x:alignment horizontal="center" vertical="center"/>
    </x:xf>
    <x:xf numFmtId="3" fontId="0" fillId="3" borderId="14" xfId="0" applyNumberFormat="1" applyFont="1" applyFill="1" applyBorder="1" applyAlignment="1">
      <x:alignment horizontal="center" vertical="top"/>
    </x:xf>
    <x:xf numFmtId="0" fontId="0" fillId="3" borderId="14" xfId="0" applyNumberFormat="1" applyFont="1" applyFill="1" applyBorder="1" applyAlignment="1">
      <x:alignment horizontal="center" vertical="top"/>
    </x:xf>
    <x:xf numFmtId="0" fontId="6" fillId="4" borderId="14" xfId="0" applyNumberFormat="1" applyFont="1" applyFill="1" applyBorder="1" applyAlignment="1">
      <x:alignment horizontal="center" vertical="top"/>
    </x:xf>
    <x:xf numFmtId="0" fontId="12" fillId="0" borderId="13" xfId="0" applyNumberFormat="1" applyFont="1" applyFill="1" applyBorder="1" applyAlignment="1">
      <x:alignment vertical="top"/>
    </x:xf>
    <x:xf numFmtId="3" fontId="10" fillId="3" borderId="14" xfId="0" applyNumberFormat="1" applyFont="1" applyFill="1" applyBorder="1" applyAlignment="1">
      <x:alignment horizontal="center" vertical="top"/>
    </x:xf>
    <x:xf numFmtId="0" fontId="0" fillId="0" borderId="14" xfId="0" applyNumberFormat="1" applyFont="1" applyFill="1" applyBorder="1" applyAlignment="1">
      <x:alignment vertical="top"/>
    </x:xf>
    <x:xf numFmtId="0" fontId="0" fillId="4" borderId="14" xfId="0" applyNumberFormat="1" applyFont="1" applyFill="1" applyBorder="1" applyAlignment="1">
      <x:alignment horizontal="center" vertical="top"/>
    </x:xf>
    <x:xf numFmtId="17" fontId="6" fillId="4" borderId="14" xfId="0" applyNumberFormat="1" applyFont="1" applyFill="1" applyBorder="1" applyAlignment="1">
      <x:alignment horizontal="center" vertical="top"/>
    </x:xf>
    <x:xf numFmtId="164" fontId="0" fillId="0" borderId="14" xfId="0" applyNumberFormat="1" applyFont="1" applyFill="1" applyBorder="1" applyAlignment="1">
      <x:alignment horizontal="center" vertical="top"/>
    </x:xf>
    <x:xf numFmtId="164" fontId="0" fillId="4" borderId="14" xfId="0" applyNumberFormat="1" applyFont="1" applyFill="1" applyBorder="1" applyAlignment="1">
      <x:alignment horizontal="center" vertical="top"/>
    </x:xf>
    <x:xf numFmtId="3" fontId="0" fillId="4" borderId="14" xfId="0" applyNumberFormat="1" applyFont="1" applyFill="1" applyBorder="1" applyAlignment="1">
      <x:alignment horizontal="center" vertical="top"/>
    </x:xf>
    <x:xf numFmtId="3" fontId="9" fillId="3" borderId="14" xfId="0" applyNumberFormat="1" applyFont="1" applyFill="1" applyBorder="1" applyAlignment="1">
      <x:alignment horizontal="center" vertical="top"/>
    </x:xf>
    <x:xf numFmtId="3" fontId="9" fillId="0" borderId="14" xfId="0" applyNumberFormat="1" applyFont="1" applyFill="1" applyBorder="1" applyAlignment="1">
      <x:alignment horizontal="center" vertical="top"/>
    </x:xf>
    <x:xf numFmtId="0" fontId="1" fillId="0" borderId="13" xfId="0" applyNumberFormat="1" applyFont="1" applyFill="1" applyBorder="1" applyAlignment="1">
      <x:alignment vertical="top"/>
    </x:xf>
    <x:xf numFmtId="0" fontId="11" fillId="5" borderId="14" xfId="0" applyNumberFormat="1" applyFont="1" applyFill="1" applyBorder="1" applyAlignment="1">
      <x:alignment horizontal="center" vertical="center"/>
    </x:xf>
    <x:xf numFmtId="0" fontId="5" fillId="4" borderId="14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2" borderId="14" xfId="0" applyNumberFormat="1" applyFont="1" applyFill="1" applyBorder="1" applyAlignment="1">
      <x:alignment horizontal="center" vertical="center" wrapText="1"/>
    </x:xf>
    <x:xf numFmtId="3" fontId="0" fillId="3" borderId="14" xfId="0" applyNumberFormat="1" applyFont="1" applyFill="1" applyBorder="1" applyAlignment="1">
      <x:alignment horizontal="center" vertical="center"/>
    </x:xf>
    <x:xf numFmtId="164" fontId="0" fillId="3" borderId="14" xfId="0" applyNumberFormat="1" applyFont="1" applyFill="1" applyBorder="1" applyAlignment="1">
      <x:alignment horizontal="center" vertical="center"/>
    </x:xf>
    <x:xf numFmtId="3" fontId="0" fillId="0" borderId="14" xfId="0" applyNumberFormat="1" applyFont="1" applyFill="1" applyBorder="1" applyAlignment="1">
      <x:alignment horizontal="center" vertical="center"/>
    </x:xf>
    <x:xf numFmtId="9" fontId="0" fillId="0" borderId="13" xfId="0" applyNumberFormat="1" applyFont="1" applyFill="1" applyBorder="1" applyAlignment="1">
      <x:alignment vertical="top"/>
    </x:xf>
    <x:xf numFmtId="0" fontId="5" fillId="8" borderId="14" xfId="0" applyNumberFormat="1" applyFont="1" applyFill="1" applyBorder="1" applyAlignment="1">
      <x:alignment horizontal="center" vertical="center" wrapText="1"/>
    </x:xf>
    <x:xf numFmtId="9" fontId="0" fillId="0" borderId="14" xfId="0" applyNumberFormat="1" applyFont="1" applyFill="1" applyBorder="1" applyAlignment="1">
      <x:alignment horizontal="center" vertical="center"/>
    </x:xf>
    <x:xf numFmtId="0" fontId="0" fillId="9" borderId="13" xfId="0" applyNumberFormat="1" applyFont="1" applyFill="1" applyBorder="1" applyAlignment="1">
      <x:alignment vertical="top"/>
    </x:xf>
    <x:xf numFmtId="164" fontId="0" fillId="0" borderId="13" xfId="0" applyNumberFormat="1" applyFont="1" applyFill="1" applyBorder="1" applyAlignment="1">
      <x:alignment vertical="top"/>
    </x:xf>
    <x:xf numFmtId="1" fontId="0" fillId="0" borderId="14" xfId="0" applyNumberFormat="1" applyFont="1" applyFill="1" applyBorder="1" applyAlignment="1">
      <x:alignment horizontal="center"/>
    </x:xf>
    <x:xf numFmtId="164" fontId="0" fillId="0" borderId="14" xfId="0" applyNumberFormat="1" applyFont="1" applyFill="1" applyBorder="1" applyAlignment="1">
      <x:alignment horizontal="center"/>
    </x:xf>
    <x:xf numFmtId="164" fontId="0" fillId="0" borderId="13" xfId="0" applyNumberFormat="1" applyFont="1" applyFill="1" applyBorder="1" applyAlignment="1">
      <x:alignment horizontal="center"/>
    </x:xf>
    <x:xf numFmtId="0" fontId="0" fillId="4" borderId="13" xfId="0" applyNumberFormat="1" applyFont="1" applyFill="1" applyBorder="1" applyAlignment="1">
      <x:alignment horizontal="center" vertical="top"/>
    </x:xf>
    <x:xf numFmtId="164" fontId="0" fillId="4" borderId="13" xfId="0" applyNumberFormat="1" applyFont="1" applyFill="1" applyBorder="1" applyAlignment="1">
      <x:alignment horizontal="center" vertical="top"/>
    </x:xf>
    <x:xf numFmtId="0" fontId="0" fillId="4" borderId="15" xfId="0" applyNumberFormat="1" applyFont="1" applyFill="1" applyBorder="1" applyAlignment="1">
      <x:alignment horizontal="center" vertical="top"/>
    </x:xf>
    <x:xf numFmtId="164" fontId="0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1" fontId="0" fillId="0" borderId="16" xfId="0" applyNumberFormat="1" applyFont="1" applyFill="1" applyBorder="1" applyAlignment="1">
      <x:alignment horizontal="center"/>
    </x:xf>
    <x:xf numFmtId="164" fontId="7" fillId="0" borderId="13" xfId="0" applyNumberFormat="1" applyFont="1" applyFill="1" applyBorder="1" applyAlignment="1">
      <x:alignment vertical="top"/>
    </x:xf>
    <x:xf numFmtId="0" fontId="7" fillId="0" borderId="13" xfId="0" applyNumberFormat="1" applyFont="1" applyFill="1" applyBorder="1" applyAlignment="1">
      <x:alignment vertical="top"/>
    </x:xf>
    <x:xf numFmtId="9" fontId="7" fillId="0" borderId="13" xfId="0" applyNumberFormat="1" applyFont="1" applyFill="1" applyBorder="1" applyAlignment="1">
      <x:alignment vertical="top"/>
    </x:xf>
    <x:xf numFmtId="3" fontId="7" fillId="0" borderId="13" xfId="0" applyNumberFormat="1" applyFont="1" applyFill="1" applyBorder="1" applyAlignment="1">
      <x:alignment vertical="top"/>
    </x:xf>
    <x:xf numFmtId="165" fontId="7" fillId="0" borderId="13" xfId="0" applyNumberFormat="1" applyFont="1" applyFill="1" applyBorder="1" applyAlignment="1">
      <x:alignment vertical="top"/>
    </x:xf>
    <x:xf numFmtId="0" fontId="6" fillId="4" borderId="13" xfId="0" applyNumberFormat="1" applyFont="1" applyFill="1" applyBorder="1" applyAlignment="1">
      <x:alignment horizontal="center" vertical="top"/>
    </x:xf>
    <x:xf numFmtId="3" fontId="6" fillId="4" borderId="13" xfId="0" applyNumberFormat="1" applyFont="1" applyFill="1" applyBorder="1" applyAlignment="1">
      <x:alignment horizontal="center" vertical="center"/>
    </x:xf>
    <x:xf numFmtId="166" fontId="6" fillId="4" borderId="13" xfId="0" applyNumberFormat="1" applyFont="1" applyFill="1" applyBorder="1" applyAlignment="1">
      <x:alignment horizontal="center" vertical="center"/>
    </x:xf>
    <x:xf numFmtId="0" fontId="6" fillId="4" borderId="13" xfId="0" applyNumberFormat="1" applyFont="1" applyFill="1" applyBorder="1" applyAlignment="1">
      <x:alignment horizontal="left" vertical="top"/>
    </x:xf>
    <x:xf numFmtId="3" fontId="15" fillId="3" borderId="13" xfId="0" applyNumberFormat="1" applyFont="1" applyFill="1" applyBorder="1" applyAlignment="1">
      <x:alignment horizontal="center" vertical="center"/>
    </x:xf>
    <x:xf numFmtId="17" fontId="7" fillId="0" borderId="13" xfId="0" applyNumberFormat="1" applyFont="1" applyFill="1" applyBorder="1" applyAlignment="1">
      <x:alignment vertical="top"/>
    </x:xf>
    <x:xf numFmtId="0" fontId="2" fillId="3" borderId="17" xfId="0" applyNumberFormat="1" applyFont="1" applyFill="1" applyBorder="1" applyAlignment="1">
      <x:alignment horizontal="left" vertical="center"/>
    </x:xf>
    <x:xf numFmtId="1" fontId="7" fillId="0" borderId="13" xfId="0" applyNumberFormat="1" applyFont="1" applyFill="1" applyBorder="1" applyAlignment="1">
      <x:alignment vertical="top"/>
    </x:xf>
    <x:xf numFmtId="0" fontId="6" fillId="4" borderId="18" xfId="0" applyNumberFormat="1" applyFont="1" applyFill="1" applyBorder="1" applyAlignment="1">
      <x:alignment horizontal="left" vertical="top"/>
    </x:xf>
    <x:xf numFmtId="0" fontId="6" fillId="4" borderId="18" xfId="0" applyNumberFormat="1" applyFont="1" applyFill="1" applyBorder="1" applyAlignment="1">
      <x:alignment horizontal="center" vertical="top"/>
    </x:xf>
    <x:xf numFmtId="3" fontId="6" fillId="4" borderId="18" xfId="0" applyNumberFormat="1" applyFont="1" applyFill="1" applyBorder="1" applyAlignment="1">
      <x:alignment horizontal="center" vertical="center"/>
    </x:xf>
    <x:xf numFmtId="3" fontId="6" fillId="4" borderId="19" xfId="0" applyNumberFormat="1" applyFont="1" applyFill="1" applyBorder="1" applyAlignment="1">
      <x:alignment horizontal="center" vertical="center"/>
    </x:xf>
    <x:xf numFmtId="3" fontId="6" fillId="4" borderId="20" xfId="0" applyNumberFormat="1" applyFont="1" applyFill="1" applyBorder="1" applyAlignment="1">
      <x:alignment horizontal="center" vertical="center"/>
    </x:xf>
    <x:xf numFmtId="3" fontId="6" fillId="4" borderId="21" xfId="0" applyNumberFormat="1" applyFont="1" applyFill="1" applyBorder="1" applyAlignment="1">
      <x:alignment horizontal="center" vertical="center"/>
    </x:xf>
    <x:xf numFmtId="3" fontId="6" fillId="4" borderId="22" xfId="0" applyNumberFormat="1" applyFont="1" applyFill="1" applyBorder="1" applyAlignment="1">
      <x:alignment horizontal="center" vertical="center"/>
    </x:xf>
    <x:xf numFmtId="0" fontId="6" fillId="4" borderId="20" xfId="0" applyNumberFormat="1" applyFont="1" applyFill="1" applyBorder="1" applyAlignment="1">
      <x:alignment horizontal="center" vertical="top"/>
    </x:xf>
    <x:xf numFmtId="166" fontId="6" fillId="4" borderId="18" xfId="0" applyNumberFormat="1" applyFont="1" applyFill="1" applyBorder="1" applyAlignment="1">
      <x:alignment horizontal="center" vertical="center"/>
    </x:xf>
    <x:xf numFmtId="3" fontId="10" fillId="0" borderId="14" xfId="0" applyNumberFormat="1" applyFont="1" applyFill="1" applyBorder="1" applyAlignment="1">
      <x:alignment horizontal="center" vertical="top"/>
    </x:xf>
    <x:xf numFmtId="0" fontId="0" fillId="3" borderId="17" xfId="0" applyNumberFormat="1" applyFont="1" applyFill="1" applyBorder="1" applyAlignment="1">
      <x:alignment horizontal="center" vertical="top"/>
    </x:xf>
    <x:xf numFmtId="164" fontId="0" fillId="0" borderId="17" xfId="0" applyNumberFormat="1" applyFont="1" applyFill="1" applyBorder="1" applyAlignment="1">
      <x:alignment horizontal="center"/>
    </x:xf>
    <x:xf numFmtId="164" fontId="0" fillId="0" borderId="17" xfId="0" applyNumberFormat="1" applyFont="1" applyFill="1" applyBorder="1" applyAlignment="1">
      <x:alignment horizontal="center" vertical="top"/>
    </x:xf>
    <x:xf numFmtId="1" fontId="0" fillId="0" borderId="17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vertical="top"/>
    </x:xf>
    <x:xf numFmtId="3" fontId="0" fillId="4" borderId="17" xfId="0" applyNumberFormat="1" applyFont="1" applyFill="1" applyBorder="1" applyAlignment="1">
      <x:alignment horizontal="center" vertical="top"/>
    </x:xf>
    <x:xf numFmtId="3" fontId="0" fillId="0" borderId="17" xfId="0" applyNumberFormat="1" applyFont="1" applyFill="1" applyBorder="1" applyAlignment="1">
      <x:alignment horizontal="center" vertical="top"/>
    </x:xf>
    <x:xf numFmtId="3" fontId="0" fillId="0" borderId="14" xfId="0" applyNumberFormat="1" applyFont="1" applyFill="1" applyBorder="1" applyAlignment="1">
      <x:alignment horizontal="center"/>
    </x:xf>
    <x:xf numFmtId="1" fontId="0" fillId="4" borderId="14" xfId="0" applyNumberFormat="1" applyFont="1" applyFill="1" applyBorder="1" applyAlignment="1">
      <x:alignment horizontal="center"/>
    </x:xf>
    <x:xf numFmtId="164" fontId="0" fillId="4" borderId="14" xfId="0" applyNumberFormat="1" applyFont="1" applyFill="1" applyBorder="1" applyAlignment="1">
      <x:alignment horizontal="center"/>
    </x:xf>
    <x:xf numFmtId="167" fontId="0" fillId="0" borderId="14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6" fillId="10" borderId="13" xfId="0" applyNumberFormat="1" applyFont="1" applyFill="1" applyBorder="1" applyAlignment="1">
      <x:alignment vertical="top"/>
    </x:xf>
    <x:xf numFmtId="0" fontId="14" fillId="5" borderId="23" xfId="0" applyNumberFormat="1" applyFont="1" applyFill="1" applyBorder="1" applyAlignment="1">
      <x:alignment vertical="center"/>
    </x:xf>
    <x:xf numFmtId="0" fontId="14" fillId="5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0" fillId="4" borderId="14" xfId="0" applyNumberFormat="1" applyFont="1" applyFill="1" applyBorder="1" applyAlignment="1">
      <x:alignment vertical="top"/>
    </x:xf>
    <x:xf numFmtId="0" fontId="0" fillId="4" borderId="14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167" fontId="0" fillId="11" borderId="14" xfId="0" applyNumberFormat="1" applyFont="1" applyFill="1" applyBorder="1" applyAlignment="1">
      <x:alignment horizontal="center"/>
    </x:xf>
    <x:xf numFmtId="164" fontId="0" fillId="11" borderId="14" xfId="0" applyNumberFormat="1" applyFont="1" applyFill="1" applyBorder="1" applyAlignment="1">
      <x:alignment horizontal="center" vertical="top"/>
    </x:xf>
    <x:xf numFmtId="0" fontId="0" fillId="0" borderId="17" xfId="0" applyNumberFormat="1" applyFont="1" applyFill="1" applyBorder="1" applyAlignment="1">
      <x:alignment horizontal="center" vertical="top"/>
    </x:xf>
    <x:xf numFmtId="0" fontId="0" fillId="11" borderId="14" xfId="0" applyNumberFormat="1" applyFont="1" applyFill="1" applyBorder="1" applyAlignment="1">
      <x:alignment horizontal="center" vertical="top"/>
    </x:xf>
    <x:xf numFmtId="3" fontId="6" fillId="10" borderId="24" xfId="0" applyNumberFormat="1" applyFont="1" applyFill="1" applyBorder="1" applyAlignment="1">
      <x:alignment horizontal="center" vertical="center"/>
    </x:xf>
    <x:xf numFmtId="9" fontId="0" fillId="0" borderId="25" xfId="0" applyNumberFormat="1" applyFont="1" applyFill="1" applyBorder="1" applyAlignment="1">
      <x:alignment horizontal="center" vertical="center"/>
    </x:xf>
    <x:xf numFmtId="0" fontId="15" fillId="3" borderId="13" xfId="0" applyNumberFormat="1" applyFont="1" applyFill="1" applyBorder="1" applyAlignment="1">
      <x:alignment horizontal="left" vertical="top"/>
    </x:xf>
    <x:xf numFmtId="165" fontId="13" fillId="7" borderId="16" xfId="0" applyNumberFormat="1" applyFont="1" applyFill="1" applyBorder="1" applyAlignment="1">
      <x:alignment horizontal="center" vertical="center"/>
    </x:xf>
    <x:xf numFmtId="165" fontId="13" fillId="7" borderId="15" xfId="0" applyNumberFormat="1" applyFont="1" applyFill="1" applyBorder="1" applyAlignment="1">
      <x:alignment horizontal="center" vertical="center"/>
    </x:xf>
    <x:xf numFmtId="0" fontId="0" fillId="9" borderId="13" xfId="0" applyNumberFormat="1" applyFont="1" applyFill="1" applyBorder="1" applyAlignment="1">
      <x:alignment horizontal="center" vertical="top"/>
    </x:xf>
    <x:xf numFmtId="0" fontId="0" fillId="12" borderId="0" xfId="0" applyNumberFormat="1" applyFont="1" applyFill="1" applyBorder="1" applyAlignment="1">
      <x:alignment vertical="top"/>
    </x:xf>
    <x:xf numFmtId="0" fontId="17" fillId="12" borderId="0" xfId="0" applyNumberFormat="1" applyFont="1" applyFill="1" applyBorder="1" applyAlignment="1">
      <x:alignment vertical="top"/>
    </x:xf>
    <x:xf numFmtId="0" fontId="17" fillId="12" borderId="0" xfId="0" applyNumberFormat="1" applyFont="1" applyFill="1" applyBorder="1" applyAlignment="1">
      <x:alignment horizontal="left" vertical="top"/>
    </x:xf>
    <x:xf numFmtId="0" fontId="17" fillId="12" borderId="0" xfId="0" applyNumberFormat="1" applyFont="1" applyFill="1" applyBorder="1" applyAlignment="1">
      <x:alignment horizontal="left" vertical="center"/>
    </x:xf>
    <x:xf numFmtId="0" fontId="0" fillId="12" borderId="13" xfId="0" applyNumberFormat="1" applyFont="1" applyFill="1" applyBorder="1" applyAlignment="1">
      <x:alignment vertical="top"/>
    </x:xf>
    <x:xf numFmtId="0" fontId="17" fillId="12" borderId="13" xfId="0" applyNumberFormat="1" applyFont="1" applyFill="1" applyBorder="1" applyAlignment="1">
      <x:alignment vertical="top"/>
    </x:xf>
    <x:xf numFmtId="0" fontId="17" fillId="12" borderId="13" xfId="0" applyNumberFormat="1" applyFont="1" applyFill="1" applyBorder="1" applyAlignment="1">
      <x:alignment horizontal="left" vertical="top"/>
    </x:xf>
    <x:xf numFmtId="0" fontId="17" fillId="12" borderId="13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 applyAlignment="1">
      <x:alignment vertical="top"/>
    </x:xf>
    <x:xf numFmtId="0" fontId="18" fillId="13" borderId="0" xfId="0" applyNumberFormat="1" applyFont="1" applyFill="1" applyBorder="1" applyAlignment="1">
      <x:alignment vertical="top"/>
    </x:xf>
    <x:xf numFmtId="0" fontId="18" fillId="13" borderId="0" xfId="0" applyNumberFormat="1" applyFont="1" applyFill="1" applyBorder="1" applyAlignment="1">
      <x:alignment vertical="top" wrapText="1"/>
    </x:xf>
    <x:xf numFmtId="0" fontId="0" fillId="13" borderId="13" xfId="0" applyNumberFormat="1" applyFont="1" applyFill="1" applyBorder="1" applyAlignment="1">
      <x:alignment vertical="top"/>
    </x:xf>
    <x:xf numFmtId="0" fontId="18" fillId="13" borderId="13" xfId="0" applyNumberFormat="1" applyFont="1" applyFill="1" applyBorder="1" applyAlignment="1">
      <x:alignment vertical="top"/>
    </x:xf>
    <x:xf numFmtId="0" fontId="18" fillId="13" borderId="13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/>
    </x:xf>
    <x:xf numFmtId="0" fontId="19" fillId="14" borderId="0" xfId="0" applyNumberFormat="1" applyFont="1" applyFill="1" applyBorder="1" applyAlignment="1">
      <x:alignment vertical="top"/>
    </x:xf>
    <x:xf numFmtId="0" fontId="19" fillId="14" borderId="26" xfId="0" applyNumberFormat="1" applyFont="1" applyFill="1" applyBorder="1" applyAlignment="1">
      <x:alignment vertical="top"/>
    </x:xf>
    <x:xf numFmtId="0" fontId="19" fillId="14" borderId="26" xfId="0" applyNumberFormat="1" applyFont="1" applyFill="1" applyBorder="1" applyAlignment="1">
      <x:alignment horizontal="center" vertical="top"/>
    </x:xf>
    <x:xf numFmtId="0" fontId="19" fillId="14" borderId="26" xfId="0" applyNumberFormat="1" applyFont="1" applyFill="1" applyBorder="1" applyAlignment="1">
      <x:alignment horizontal="center" vertical="center"/>
    </x:xf>
    <x:xf numFmtId="0" fontId="0" fillId="14" borderId="13" xfId="0" applyNumberFormat="1" applyFont="1" applyFill="1" applyBorder="1" applyAlignment="1">
      <x:alignment vertical="top"/>
    </x:xf>
    <x:xf numFmtId="0" fontId="19" fillId="14" borderId="13" xfId="0" applyNumberFormat="1" applyFont="1" applyFill="1" applyBorder="1" applyAlignment="1">
      <x:alignment vertical="top"/>
    </x:xf>
    <x:xf numFmtId="0" fontId="19" fillId="14" borderId="27" xfId="0" applyNumberFormat="1" applyFont="1" applyFill="1" applyBorder="1" applyAlignment="1">
      <x:alignment vertical="top"/>
    </x:xf>
    <x:xf numFmtId="0" fontId="19" fillId="14" borderId="27" xfId="0" applyNumberFormat="1" applyFont="1" applyFill="1" applyBorder="1" applyAlignment="1">
      <x:alignment horizontal="center" vertical="top"/>
    </x:xf>
    <x:xf numFmtId="0" fontId="19" fillId="14" borderId="27" xfId="0" applyNumberFormat="1" applyFont="1" applyFill="1" applyBorder="1" applyAlignment="1">
      <x:alignment horizontal="center" vertical="center"/>
    </x:xf>
    <x:xf numFmtId="0" fontId="20" fillId="0" borderId="0" xfId="0" applyNumberFormat="1" applyFont="1" applyFill="1" applyBorder="1" applyAlignment="1">
      <x:alignment vertical="top"/>
    </x:xf>
    <x:xf numFmtId="0" fontId="20" fillId="0" borderId="28" xfId="0" applyNumberFormat="1" applyFont="1" applyFill="1" applyBorder="1" applyAlignment="1">
      <x:alignment vertical="top"/>
    </x:xf>
    <x:xf numFmtId="0" fontId="20" fillId="0" borderId="0" xfId="0" applyNumberFormat="1" applyFont="1" applyFill="1" applyBorder="1" applyAlignment="1">
      <x:alignment vertical="center"/>
    </x:xf>
    <x:xf numFmtId="0" fontId="20" fillId="0" borderId="28" xfId="0" applyNumberFormat="1" applyFont="1" applyFill="1" applyBorder="1" applyAlignment="1">
      <x:alignment vertical="center"/>
    </x:xf>
    <x:xf numFmtId="0" fontId="20" fillId="0" borderId="13" xfId="0" applyNumberFormat="1" applyFont="1" applyFill="1" applyBorder="1" applyAlignment="1">
      <x:alignment vertical="top"/>
    </x:xf>
    <x:xf numFmtId="0" fontId="20" fillId="0" borderId="29" xfId="0" applyNumberFormat="1" applyFont="1" applyFill="1" applyBorder="1" applyAlignment="1">
      <x:alignment vertical="top"/>
    </x:xf>
    <x:xf numFmtId="0" fontId="20" fillId="0" borderId="13" xfId="0" applyNumberFormat="1" applyFont="1" applyFill="1" applyBorder="1" applyAlignment="1">
      <x:alignment vertical="center"/>
    </x:xf>
    <x:xf numFmtId="0" fontId="20" fillId="0" borderId="29" xfId="0" applyNumberFormat="1" applyFont="1" applyFill="1" applyBorder="1" applyAlignment="1">
      <x:alignment vertical="center"/>
    </x:xf>
    <x:xf numFmtId="0" fontId="20" fillId="0" borderId="0" xfId="0" applyNumberFormat="1" applyFont="1" applyFill="1" applyBorder="1" applyAlignment="1">
      <x:alignment horizontal="center" vertical="center"/>
    </x:xf>
    <x:xf numFmtId="0" fontId="20" fillId="0" borderId="28" xfId="0" applyNumberFormat="1" applyFont="1" applyFill="1" applyBorder="1" applyAlignment="1">
      <x:alignment horizontal="center" vertical="center"/>
    </x:xf>
    <x:xf numFmtId="0" fontId="20" fillId="0" borderId="13" xfId="0" applyNumberFormat="1" applyFont="1" applyFill="1" applyBorder="1" applyAlignment="1">
      <x:alignment horizontal="center" vertical="center"/>
    </x:xf>
    <x:xf numFmtId="0" fontId="20" fillId="0" borderId="29" xfId="0" applyNumberFormat="1" applyFont="1" applyFill="1" applyBorder="1" applyAlignment="1">
      <x:alignment horizontal="center" vertical="center"/>
    </x:xf>
    <x:xf numFmtId="0" fontId="21" fillId="0" borderId="0" xfId="0" applyNumberFormat="1" applyFont="1" applyFill="1" applyBorder="1" applyAlignment="1">
      <x:alignment horizontal="center" vertical="center"/>
    </x:xf>
    <x:xf numFmtId="0" fontId="21" fillId="0" borderId="28" xfId="0" applyNumberFormat="1" applyFont="1" applyFill="1" applyBorder="1" applyAlignment="1">
      <x:alignment horizontal="center" vertical="center"/>
    </x:xf>
    <x:xf numFmtId="0" fontId="21" fillId="0" borderId="13" xfId="0" applyNumberFormat="1" applyFont="1" applyFill="1" applyBorder="1" applyAlignment="1">
      <x:alignment horizontal="center" vertical="center"/>
    </x:xf>
    <x:xf numFmtId="0" fontId="21" fillId="0" borderId="29" xfId="0" applyNumberFormat="1" applyFont="1" applyFill="1" applyBorder="1" applyAlignment="1">
      <x:alignment horizontal="center" vertical="center"/>
    </x:xf>
    <x:xf numFmtId="0" fontId="22" fillId="0" borderId="0" xfId="0" applyNumberFormat="1" applyFont="1" applyFill="1" applyBorder="1" applyAlignment="1">
      <x:alignment vertical="center"/>
    </x:xf>
    <x:xf numFmtId="0" fontId="22" fillId="0" borderId="28" xfId="0" applyNumberFormat="1" applyFont="1" applyFill="1" applyBorder="1" applyAlignment="1">
      <x:alignment vertical="center"/>
    </x:xf>
    <x:xf numFmtId="0" fontId="22" fillId="0" borderId="13" xfId="0" applyNumberFormat="1" applyFont="1" applyFill="1" applyBorder="1" applyAlignment="1">
      <x:alignment vertical="center"/>
    </x:xf>
    <x:xf numFmtId="0" fontId="22" fillId="0" borderId="29" xfId="0" applyNumberFormat="1" applyFont="1" applyFill="1" applyBorder="1" applyAlignment="1">
      <x:alignment vertical="center"/>
    </x:xf>
    <x:xf numFmtId="0" fontId="19" fillId="12" borderId="0" xfId="0" applyNumberFormat="1" applyFont="1" applyFill="1" applyBorder="1" applyAlignment="1">
      <x:alignment vertical="top"/>
    </x:xf>
    <x:xf numFmtId="0" fontId="19" fillId="12" borderId="0" xfId="0" applyNumberFormat="1" applyFont="1" applyFill="1" applyBorder="1" applyAlignment="1">
      <x:alignment horizontal="center" vertical="top"/>
    </x:xf>
    <x:xf numFmtId="0" fontId="19" fillId="12" borderId="13" xfId="0" applyNumberFormat="1" applyFont="1" applyFill="1" applyBorder="1" applyAlignment="1">
      <x:alignment vertical="top"/>
    </x:xf>
    <x:xf numFmtId="0" fontId="19" fillId="12" borderId="13" xfId="0" applyNumberFormat="1" applyFont="1" applyFill="1" applyBorder="1" applyAlignment="1">
      <x:alignment horizontal="center" vertical="top"/>
    </x:xf>
    <x:xf numFmtId="0" fontId="19" fillId="14" borderId="0" xfId="0" applyNumberFormat="1" applyFont="1" applyFill="1" applyBorder="1" applyAlignment="1">
      <x:alignment horizontal="center" vertical="top"/>
    </x:xf>
    <x:xf numFmtId="0" fontId="19" fillId="14" borderId="13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3" xfId="0" applyNumberFormat="1" applyFont="1" applyFill="1" applyBorder="1" applyAlignment="1">
      <x:alignment vertical="top"/>
    </x:xf>
    <x:xf numFmtId="200" fontId="23" fillId="0" borderId="0" xfId="0" applyNumberFormat="1" applyFont="1" applyFill="1" applyBorder="1" applyAlignment="1">
      <x:alignment vertical="top"/>
    </x:xf>
    <x:xf numFmtId="201" fontId="23" fillId="0" borderId="0" xfId="0" applyNumberFormat="1" applyFont="1" applyFill="1" applyBorder="1" applyAlignment="1">
      <x:alignment vertical="top"/>
    </x:xf>
    <x:xf numFmtId="200" fontId="23" fillId="0" borderId="28" xfId="0" applyNumberFormat="1" applyFont="1" applyFill="1" applyBorder="1" applyAlignment="1">
      <x:alignment vertical="top"/>
    </x:xf>
    <x:xf numFmtId="201" fontId="23" fillId="0" borderId="28" xfId="0" applyNumberFormat="1" applyFont="1" applyFill="1" applyBorder="1" applyAlignment="1">
      <x:alignment vertical="top"/>
    </x:xf>
    <x:xf numFmtId="200" fontId="23" fillId="0" borderId="0" xfId="0" applyNumberFormat="1" applyFont="1" applyFill="1" applyBorder="1" applyAlignment="1">
      <x:alignment horizontal="center" vertical="top"/>
    </x:xf>
    <x:xf numFmtId="201" fontId="23" fillId="0" borderId="0" xfId="0" applyNumberFormat="1" applyFont="1" applyFill="1" applyBorder="1" applyAlignment="1">
      <x:alignment horizontal="center" vertical="top"/>
    </x:xf>
    <x:xf numFmtId="200" fontId="23" fillId="0" borderId="28" xfId="0" applyNumberFormat="1" applyFont="1" applyFill="1" applyBorder="1" applyAlignment="1">
      <x:alignment horizontal="center" vertical="top"/>
    </x:xf>
    <x:xf numFmtId="201" fontId="23" fillId="0" borderId="28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center" vertical="top"/>
    </x:xf>
    <x:xf numFmtId="3" fontId="0" fillId="0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center" vertical="center"/>
    </x:xf>
    <x:xf numFmtId="3" fontId="0" fillId="3" borderId="1" xfId="0" applyNumberFormat="1" applyFont="1" applyFill="1" applyBorder="1" applyAlignment="1">
      <x:alignment horizontal="center" vertical="top"/>
    </x:xf>
    <x:xf numFmtId="0" fontId="0" fillId="3" borderId="1" xfId="0" applyNumberFormat="1" applyFont="1" applyFill="1" applyBorder="1" applyAlignment="1">
      <x:alignment horizontal="center" vertical="top"/>
    </x:xf>
    <x:xf numFmtId="0" fontId="6" fillId="4" borderId="1" xfId="0" applyNumberFormat="1" applyFont="1" applyFill="1" applyBorder="1" applyAlignment="1">
      <x:alignment horizontal="center" vertical="top"/>
    </x:xf>
    <x:xf numFmtId="0" fontId="1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horizontal="center" vertical="top"/>
    </x:xf>
    <x:xf numFmtId="164" fontId="0" fillId="0" borderId="1" xfId="0" applyNumberFormat="1" applyFont="1" applyFill="1" applyBorder="1" applyAlignment="1">
      <x:alignment horizontal="center" vertical="top"/>
    </x:xf>
    <x:xf numFmtId="164" fontId="0" fillId="4" borderId="1" xfId="0" applyNumberFormat="1" applyFont="1" applyFill="1" applyBorder="1" applyAlignment="1">
      <x:alignment horizontal="center" vertical="top"/>
    </x:xf>
    <x:xf numFmtId="3" fontId="0" fillId="4" borderId="1" xfId="0" applyNumberFormat="1" applyFont="1" applyFill="1" applyBorder="1" applyAlignment="1">
      <x:alignment horizontal="center" vertical="top"/>
    </x:xf>
    <x:xf numFmtId="3" fontId="9" fillId="0" borderId="1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/>
    </x:xf>
    <x:xf numFmtId="0" fontId="11" fillId="5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3" fontId="0" fillId="3" borderId="1" xfId="0" applyNumberFormat="1" applyFont="1" applyFill="1" applyBorder="1" applyAlignment="1">
      <x:alignment horizontal="center" vertical="center"/>
    </x:xf>
    <x:xf numFmtId="164" fontId="0" fillId="3" borderId="1" xfId="0" applyNumberFormat="1" applyFont="1" applyFill="1" applyBorder="1" applyAlignment="1">
      <x:alignment horizontal="center" vertical="center"/>
    </x:xf>
    <x:xf numFmtId="3" fontId="0" fillId="0" borderId="1" xfId="0" applyNumberFormat="1" applyFont="1" applyFill="1" applyBorder="1" applyAlignment="1">
      <x:alignment horizontal="center" vertical="center"/>
    </x:xf>
    <x:xf numFmtId="9" fontId="0" fillId="0" borderId="0" xfId="0" applyNumberFormat="1" applyFont="1" applyFill="1" applyBorder="1" applyAlignment="1">
      <x:alignment vertical="top"/>
    </x:xf>
    <x:xf numFmtId="0" fontId="5" fillId="8" borderId="1" xfId="0" applyNumberFormat="1" applyFont="1" applyFill="1" applyBorder="1" applyAlignment="1">
      <x:alignment horizontal="center" vertical="center" wrapText="1"/>
    </x:xf>
    <x:xf numFmtId="9" fontId="0" fillId="0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vertical="top"/>
    </x:xf>
    <x:xf numFmtId="164" fontId="0" fillId="0" borderId="0" xfId="0" applyNumberFormat="1" applyFont="1" applyFill="1" applyBorder="1" applyAlignment="1">
      <x:alignment vertical="top"/>
    </x:xf>
    <x:xf numFmtId="1" fontId="0" fillId="0" borderId="1" xfId="0" applyNumberFormat="1" applyFont="1" applyFill="1" applyBorder="1" applyAlignment="1">
      <x:alignment horizontal="center"/>
    </x:xf>
    <x:xf numFmtId="164" fontId="0" fillId="0" borderId="1" xfId="0" applyNumberFormat="1" applyFont="1" applyFill="1" applyBorder="1" applyAlignment="1">
      <x:alignment horizontal="center"/>
    </x:xf>
    <x:xf numFmtId="164" fontId="0" fillId="0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 vertical="top"/>
    </x:xf>
    <x:xf numFmtId="164" fontId="0" fillId="4" borderId="0" xfId="0" applyNumberFormat="1" applyFont="1" applyFill="1" applyBorder="1" applyAlignment="1">
      <x:alignment horizontal="center" vertical="top"/>
    </x:xf>
    <x:xf numFmtId="0" fontId="0" fillId="4" borderId="4" xfId="0" applyNumberFormat="1" applyFont="1" applyFill="1" applyBorder="1" applyAlignment="1">
      <x:alignment horizontal="center" vertical="top"/>
    </x:xf>
    <x:xf numFmtId="164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1" fontId="0" fillId="0" borderId="3" xfId="0" applyNumberFormat="1" applyFont="1" applyFill="1" applyBorder="1" applyAlignment="1">
      <x:alignment horizontal="center"/>
    </x:xf>
    <x:xf numFmtId="164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9" fontId="7" fillId="0" borderId="0" xfId="0" applyNumberFormat="1" applyFont="1" applyFill="1" applyBorder="1" applyAlignment="1">
      <x:alignment vertical="top"/>
    </x:xf>
    <x:xf numFmtId="3" fontId="7" fillId="0" borderId="0" xfId="0" applyNumberFormat="1" applyFont="1" applyFill="1" applyBorder="1" applyAlignment="1">
      <x:alignment vertical="top"/>
    </x:xf>
    <x:xf numFmtId="165" fontId="7" fillId="0" borderId="0" xfId="0" applyNumberFormat="1" applyFont="1" applyFill="1" applyBorder="1" applyAlignment="1">
      <x:alignment vertical="top"/>
    </x:xf>
    <x:xf numFmtId="0" fontId="6" fillId="4" borderId="0" xfId="0" applyNumberFormat="1" applyFont="1" applyFill="1" applyBorder="1" applyAlignment="1">
      <x:alignment horizontal="center" vertical="top"/>
    </x:xf>
    <x:xf numFmtId="3" fontId="6" fillId="4" borderId="0" xfId="0" applyNumberFormat="1" applyFont="1" applyFill="1" applyBorder="1" applyAlignment="1">
      <x:alignment horizontal="center" vertical="center"/>
    </x:xf>
    <x:xf numFmtId="166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left" vertical="top"/>
    </x:xf>
    <x:xf numFmtId="3" fontId="15" fillId="3" borderId="0" xfId="0" applyNumberFormat="1" applyFont="1" applyFill="1" applyBorder="1" applyAlignment="1">
      <x:alignment horizontal="center" vertical="center"/>
    </x:xf>
    <x:xf numFmtId="17" fontId="7" fillId="0" borderId="0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horizontal="left" vertical="center"/>
    </x:xf>
    <x:xf numFmtId="1" fontId="7" fillId="0" borderId="0" xfId="0" applyNumberFormat="1" applyFont="1" applyFill="1" applyBorder="1" applyAlignment="1">
      <x:alignment vertical="top"/>
    </x:xf>
    <x:xf numFmtId="0" fontId="6" fillId="4" borderId="6" xfId="0" applyNumberFormat="1" applyFont="1" applyFill="1" applyBorder="1" applyAlignment="1">
      <x:alignment horizontal="left" vertical="top"/>
    </x:xf>
    <x:xf numFmtId="0" fontId="6" fillId="4" borderId="6" xfId="0" applyNumberFormat="1" applyFont="1" applyFill="1" applyBorder="1" applyAlignment="1">
      <x:alignment horizontal="center" vertical="top"/>
    </x:xf>
    <x:xf numFmtId="0" fontId="6" fillId="4" borderId="7" xfId="0" applyNumberFormat="1" applyFont="1" applyFill="1" applyBorder="1" applyAlignment="1">
      <x:alignment horizontal="center" vertical="top"/>
    </x:xf>
    <x:xf numFmtId="3" fontId="10" fillId="0" borderId="1" xfId="0" applyNumberFormat="1" applyFont="1" applyFill="1" applyBorder="1" applyAlignment="1">
      <x:alignment horizontal="center" vertical="top"/>
    </x:xf>
    <x:xf numFmtId="0" fontId="0" fillId="3" borderId="5" xfId="0" applyNumberFormat="1" applyFont="1" applyFill="1" applyBorder="1" applyAlignment="1">
      <x:alignment horizontal="center" vertical="top"/>
    </x:xf>
    <x:xf numFmtId="164" fontId="0" fillId="0" borderId="5" xfId="0" applyNumberFormat="1" applyFont="1" applyFill="1" applyBorder="1" applyAlignment="1">
      <x:alignment horizontal="center"/>
    </x:xf>
    <x:xf numFmtId="164" fontId="0" fillId="0" borderId="5" xfId="0" applyNumberFormat="1" applyFont="1" applyFill="1" applyBorder="1" applyAlignment="1">
      <x:alignment horizontal="center" vertical="top"/>
    </x:xf>
    <x:xf numFmtId="1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vertical="top"/>
    </x:xf>
    <x:xf numFmtId="3" fontId="0" fillId="4" borderId="5" xfId="0" applyNumberFormat="1" applyFont="1" applyFill="1" applyBorder="1" applyAlignment="1">
      <x:alignment horizontal="center" vertical="top"/>
    </x:xf>
    <x:xf numFmtId="3" fontId="0" fillId="0" borderId="5" xfId="0" applyNumberFormat="1" applyFont="1" applyFill="1" applyBorder="1" applyAlignment="1">
      <x:alignment horizontal="center" vertical="top"/>
    </x:xf>
    <x:xf numFmtId="3" fontId="0" fillId="0" borderId="1" xfId="0" applyNumberFormat="1" applyFont="1" applyFill="1" applyBorder="1" applyAlignment="1">
      <x:alignment horizontal="center"/>
    </x:xf>
    <x:xf numFmtId="1" fontId="0" fillId="4" borderId="1" xfId="0" applyNumberFormat="1" applyFont="1" applyFill="1" applyBorder="1" applyAlignment="1">
      <x:alignment horizontal="center"/>
    </x:xf>
    <x:xf numFmtId="164" fontId="0" fillId="4" borderId="1" xfId="0" applyNumberFormat="1" applyFont="1" applyFill="1" applyBorder="1" applyAlignment="1">
      <x:alignment horizontal="center"/>
    </x:xf>
    <x:xf numFmtId="167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6" fillId="10" borderId="0" xfId="0" applyNumberFormat="1" applyFont="1" applyFill="1" applyBorder="1" applyAlignment="1">
      <x:alignment vertical="top"/>
    </x:xf>
    <x:xf numFmtId="0" fontId="14" fillId="5" borderId="2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167" fontId="0" fillId="11" borderId="1" xfId="0" applyNumberFormat="1" applyFont="1" applyFill="1" applyBorder="1" applyAlignment="1">
      <x:alignment horizontal="center"/>
    </x:xf>
    <x:xf numFmtId="164" fontId="0" fillId="11" borderId="1" xfId="0" applyNumberFormat="1" applyFont="1" applyFill="1" applyBorder="1" applyAlignment="1">
      <x:alignment horizontal="center" vertical="top"/>
    </x:xf>
    <x:xf numFmtId="0" fontId="0" fillId="0" borderId="5" xfId="0" applyNumberFormat="1" applyFont="1" applyFill="1" applyBorder="1" applyAlignment="1">
      <x:alignment horizontal="center" vertical="top"/>
    </x:xf>
    <x:xf numFmtId="0" fontId="0" fillId="11" borderId="1" xfId="0" applyNumberFormat="1" applyFont="1" applyFill="1" applyBorder="1" applyAlignment="1">
      <x:alignment horizontal="center" vertical="top"/>
    </x:xf>
    <x:xf numFmtId="9" fontId="0" fillId="0" borderId="12" xfId="0" applyNumberFormat="1" applyFont="1" applyFill="1" applyBorder="1" applyAlignment="1">
      <x:alignment horizontal="center" vertical="center"/>
    </x:xf>
    <x:xf numFmtId="0" fontId="15" fillId="3" borderId="0" xfId="0" applyNumberFormat="1" applyFont="1" applyFill="1" applyBorder="1" applyAlignment="1">
      <x:alignment horizontal="left" vertical="top"/>
    </x:xf>
    <x:xf numFmtId="0" fontId="0" fillId="9" borderId="0" xfId="0" applyNumberFormat="1" applyFont="1" applyFill="1" applyBorder="1" applyAlignment="1">
      <x:alignment horizontal="center" vertical="top"/>
    </x:xf>
    <x:xf numFmtId="0" fontId="0" fillId="15" borderId="0" xfId="0" applyNumberFormat="1" applyFont="1" applyFill="1" applyBorder="1" applyAlignment="1">
      <x:alignment vertical="top"/>
    </x:xf>
    <x:xf numFmtId="0" fontId="19" fillId="15" borderId="0" xfId="0" applyNumberFormat="1" applyFont="1" applyFill="1" applyBorder="1" applyAlignment="1">
      <x:alignment vertical="top"/>
    </x:xf>
    <x:xf numFmtId="0" fontId="19" fillId="15" borderId="0" xfId="0" applyNumberFormat="1" applyFont="1" applyFill="1" applyBorder="1" applyAlignment="1">
      <x:alignment horizontal="center" vertical="top"/>
    </x:xf>
    <x:xf numFmtId="0" fontId="23" fillId="0" borderId="0" xfId="0" applyNumberFormat="1" applyFont="1" applyFill="1" applyBorder="1" applyAlignment="1">
      <x:alignment vertical="top"/>
    </x:xf>
    <x:xf numFmtId="0" fontId="23" fillId="0" borderId="0" xfId="0" applyNumberFormat="1" applyFont="1" applyFill="1" applyBorder="1" applyAlignment="1">
      <x:alignment horizontal="center" vertical="top"/>
    </x:xf>
    <x:xf numFmtId="0" fontId="0" fillId="16" borderId="0" xfId="0" applyNumberFormat="1" applyFont="1" applyFill="1" applyBorder="1" applyAlignment="1">
      <x:alignment vertical="top"/>
    </x:xf>
    <x:xf numFmtId="0" fontId="17" fillId="16" borderId="0" xfId="0" applyNumberFormat="1" applyFont="1" applyFill="1" applyBorder="1" applyAlignment="1">
      <x:alignment vertical="top"/>
    </x:xf>
    <x:xf numFmtId="0" fontId="17" fillId="16" borderId="30" xfId="0" applyNumberFormat="1" applyFont="1" applyFill="1" applyBorder="1" applyAlignment="1">
      <x:alignment vertical="top"/>
    </x:xf>
    <x:xf numFmtId="0" fontId="17" fillId="16" borderId="30" xfId="0" applyNumberFormat="1" applyFont="1" applyFill="1" applyBorder="1" applyAlignment="1">
      <x:alignment horizontal="left" vertical="top"/>
    </x:xf>
    <x:xf numFmtId="0" fontId="17" fillId="16" borderId="30" xfId="0" applyNumberFormat="1" applyFont="1" applyFill="1" applyBorder="1" applyAlignment="1">
      <x:alignment horizontal="left" vertical="center"/>
    </x:xf>
    <x:xf numFmtId="0" fontId="11" fillId="15" borderId="1" xfId="0" applyNumberFormat="1" applyFont="1" applyFill="1" applyBorder="1" applyAlignment="1">
      <x:alignment horizontal="center" vertical="center"/>
    </x:xf>
    <x:xf numFmtId="0" fontId="24" fillId="15" borderId="1" xfId="0" applyNumberFormat="1" applyFont="1" applyFill="1" applyBorder="1" applyAlignment="1">
      <x:alignment horizontal="center" vertical="center"/>
    </x:xf>
    <x:xf numFmtId="165" fontId="13" fillId="15" borderId="4" xfId="0" applyNumberFormat="1" applyFont="1" applyFill="1" applyBorder="1" applyAlignment="1">
      <x:alignment horizontal="center" vertical="center"/>
    </x:xf>
    <x:xf numFmtId="165" fontId="24" fillId="15" borderId="4" xfId="0" applyNumberFormat="1" applyFont="1" applyFill="1" applyBorder="1" applyAlignment="1">
      <x:alignment horizontal="center" vertical="center"/>
    </x:xf>
    <x:xf numFmtId="0" fontId="14" fillId="15" borderId="0" xfId="0" applyNumberFormat="1" applyFont="1" applyFill="1" applyBorder="1" applyAlignment="1">
      <x:alignment vertical="center"/>
    </x:xf>
    <x:xf numFmtId="0" fontId="25" fillId="15" borderId="0" xfId="0" applyNumberFormat="1" applyFont="1" applyFill="1" applyBorder="1" applyAlignment="1">
      <x:alignment vertical="center"/>
    </x:xf>
    <x:xf numFmtId="0" fontId="25" fillId="15" borderId="0" xfId="0" applyNumberFormat="1" applyFont="1" applyFill="1" applyBorder="1" applyAlignment="1">
      <x:alignment horizontal="center" vertical="center"/>
    </x:xf>
    <x:xf numFmtId="165" fontId="13" fillId="17" borderId="3" xfId="0" applyNumberFormat="1" applyFont="1" applyFill="1" applyBorder="1" applyAlignment="1">
      <x:alignment horizontal="center" vertical="center"/>
    </x:xf>
    <x:xf numFmtId="165" fontId="26" fillId="17" borderId="3" xfId="0" applyNumberFormat="1" applyFont="1" applyFill="1" applyBorder="1" applyAlignment="1">
      <x:alignment horizontal="center" vertical="center"/>
    </x:xf>
    <x:xf numFmtId="0" fontId="14" fillId="17" borderId="2" xfId="0" applyNumberFormat="1" applyFont="1" applyFill="1" applyBorder="1" applyAlignment="1">
      <x:alignment vertical="center"/>
    </x:xf>
    <x:xf numFmtId="0" fontId="26" fillId="17" borderId="2" xfId="0" applyNumberFormat="1" applyFont="1" applyFill="1" applyBorder="1" applyAlignment="1">
      <x:alignment vertical="center"/>
    </x:xf>
    <x:xf numFmtId="0" fontId="26" fillId="17" borderId="2" xfId="0" applyNumberFormat="1" applyFont="1" applyFill="1" applyBorder="1" applyAlignment="1">
      <x:alignment horizontal="center" vertical="center"/>
    </x:xf>
    <x:xf numFmtId="0" fontId="14" fillId="18" borderId="0" xfId="0" applyNumberFormat="1" applyFont="1" applyFill="1" applyBorder="1" applyAlignment="1">
      <x:alignment vertical="center"/>
    </x:xf>
    <x:xf numFmtId="0" fontId="27" fillId="18" borderId="0" xfId="0" applyNumberFormat="1" applyFont="1" applyFill="1" applyBorder="1" applyAlignment="1">
      <x:alignment vertical="center"/>
    </x:xf>
    <x:xf numFmtId="0" fontId="27" fillId="18" borderId="0" xfId="0" applyNumberFormat="1" applyFont="1" applyFill="1" applyBorder="1" applyAlignment="1">
      <x:alignment horizontal="center" vertical="center"/>
    </x:xf>
    <x:xf numFmtId="202" fontId="0" fillId="9" borderId="0" xfId="0" applyNumberFormat="1" applyFont="1" applyFill="1" applyBorder="1" applyAlignment="1">
      <x:alignment vertical="top"/>
    </x:xf>
    <x:xf numFmtId="0" fontId="5" fillId="19" borderId="1" xfId="0" applyNumberFormat="1" applyFont="1" applyFill="1" applyBorder="1" applyAlignment="1">
      <x:alignment horizontal="center" vertical="center" wrapText="1"/>
    </x:xf>
    <x:xf numFmtId="0" fontId="28" fillId="19" borderId="1" xfId="0" applyNumberFormat="1" applyFont="1" applyFill="1" applyBorder="1" applyAlignment="1">
      <x:alignment horizontal="center" vertical="center" wrapText="1"/>
    </x:xf>
    <x:xf numFmtId="0" fontId="5" fillId="20" borderId="1" xfId="0" applyNumberFormat="1" applyFont="1" applyFill="1" applyBorder="1" applyAlignment="1">
      <x:alignment horizontal="center" vertical="center" wrapText="1"/>
    </x:xf>
    <x:xf numFmtId="0" fontId="28" fillId="20" borderId="1" xfId="0" applyNumberFormat="1" applyFont="1" applyFill="1" applyBorder="1" applyAlignment="1">
      <x:alignment horizontal="center" vertical="center" wrapText="1"/>
    </x:xf>
    <x:xf numFmtId="0" fontId="5" fillId="21" borderId="1" xfId="0" applyNumberFormat="1" applyFont="1" applyFill="1" applyBorder="1" applyAlignment="1">
      <x:alignment horizontal="center" vertical="center" wrapText="1"/>
    </x:xf>
    <x:xf numFmtId="0" fontId="28" fillId="21" borderId="1" xfId="0" applyNumberFormat="1" applyFont="1" applyFill="1" applyBorder="1" applyAlignment="1">
      <x:alignment horizontal="center" vertical="center" wrapText="1"/>
    </x:xf>
    <x:xf numFmtId="0" fontId="5" fillId="22" borderId="1" xfId="0" applyNumberFormat="1" applyFont="1" applyFill="1" applyBorder="1" applyAlignment="1">
      <x:alignment horizontal="center" vertical="center" wrapText="1"/>
    </x:xf>
    <x:xf numFmtId="0" fontId="28" fillId="22" borderId="1" xfId="0" applyNumberFormat="1" applyFont="1" applyFill="1" applyBorder="1" applyAlignment="1">
      <x:alignment horizontal="center" vertical="center" wrapText="1"/>
    </x:xf>
    <x:xf numFmtId="0" fontId="3" fillId="23" borderId="1" xfId="0" applyNumberFormat="1" applyFont="1" applyFill="1" applyBorder="1" applyAlignment="1">
      <x:alignment horizontal="left" vertical="center"/>
    </x:xf>
    <x:xf numFmtId="0" fontId="2" fillId="23" borderId="1" xfId="0" applyNumberFormat="1" applyFont="1" applyFill="1" applyBorder="1" applyAlignment="1">
      <x:alignment horizontal="center" vertical="center"/>
    </x:xf>
    <x:xf numFmtId="3" fontId="0" fillId="23" borderId="1" xfId="0" applyNumberFormat="1" applyFont="1" applyFill="1" applyBorder="1" applyAlignment="1">
      <x:alignment horizontal="center" vertical="center"/>
    </x:xf>
    <x:xf numFmtId="164" fontId="0" fillId="23" borderId="1" xfId="0" applyNumberFormat="1" applyFont="1" applyFill="1" applyBorder="1" applyAlignment="1">
      <x:alignment horizontal="center" vertical="center"/>
    </x:xf>
    <x:xf numFmtId="9" fontId="0" fillId="23" borderId="1" xfId="0" applyNumberFormat="1" applyFont="1" applyFill="1" applyBorder="1" applyAlignment="1">
      <x:alignment horizontal="center" vertical="center"/>
    </x:xf>
    <x:xf numFmtId="0" fontId="2" fillId="23" borderId="1" xfId="0" applyNumberFormat="1" applyFont="1" applyFill="1" applyBorder="1" applyAlignment="1">
      <x:alignment horizontal="left" vertical="center"/>
    </x:xf>
    <x:xf numFmtId="0" fontId="4" fillId="23" borderId="1" xfId="0" applyNumberFormat="1" applyFont="1" applyFill="1" applyBorder="1" applyAlignment="1">
      <x:alignment horizontal="left" vertical="center"/>
    </x:xf>
    <x:xf numFmtId="0" fontId="2" fillId="23" borderId="5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 applyAlignment="1">
      <x:alignment vertical="top"/>
    </x:xf>
    <x:xf numFmtId="0" fontId="29" fillId="23" borderId="1" xfId="0" applyNumberFormat="1" applyFont="1" applyFill="1" applyBorder="1" applyAlignment="1">
      <x:alignment horizontal="left" vertical="center"/>
    </x:xf>
    <x:xf numFmtId="0" fontId="29" fillId="23" borderId="1" xfId="0" applyNumberFormat="1" applyFont="1" applyFill="1" applyBorder="1" applyAlignment="1">
      <x:alignment horizontal="center" vertical="center"/>
    </x:xf>
    <x:xf numFmtId="3" fontId="30" fillId="23" borderId="1" xfId="0" applyNumberFormat="1" applyFont="1" applyFill="1" applyBorder="1" applyAlignment="1">
      <x:alignment horizontal="center" vertical="center"/>
    </x:xf>
    <x:xf numFmtId="164" fontId="30" fillId="23" borderId="1" xfId="0" applyNumberFormat="1" applyFont="1" applyFill="1" applyBorder="1" applyAlignment="1">
      <x:alignment horizontal="center" vertical="center"/>
    </x:xf>
    <x:xf numFmtId="9" fontId="30" fillId="23" borderId="1" xfId="0" applyNumberFormat="1" applyFont="1" applyFill="1" applyBorder="1" applyAlignment="1">
      <x:alignment horizontal="center" vertical="center"/>
    </x:xf>
    <x:xf numFmtId="0" fontId="29" fillId="23" borderId="5" xfId="0" applyNumberFormat="1" applyFont="1" applyFill="1" applyBorder="1" applyAlignment="1">
      <x:alignment horizontal="left" vertical="center"/>
    </x:xf>
    <x:xf numFmtId="0" fontId="30" fillId="23" borderId="0" xfId="0" applyNumberFormat="1" applyFont="1" applyFill="1" applyBorder="1" applyAlignment="1">
      <x:alignment vertical="top"/>
    </x:xf>
    <x:xf numFmtId="9" fontId="30" fillId="23" borderId="31" xfId="0" applyNumberFormat="1" applyFont="1" applyFill="1" applyBorder="1" applyAlignment="1">
      <x:alignment horizontal="center" vertical="center"/>
    </x:xf>
    <x:xf numFmtId="0" fontId="30" fillId="23" borderId="2" xfId="0" applyNumberFormat="1" applyFont="1" applyFill="1" applyBorder="1" applyAlignment="1">
      <x:alignment vertical="top"/>
    </x:xf>
    <x:xf numFmtId="0" fontId="30" fillId="23" xfId="0" applyNumberFormat="1" applyFont="1" applyFill="1" applyBorder="0" applyAlignment="1">
      <x:alignment vertical="top"/>
    </x:xf>
    <x:xf numFmtId="0" fontId="30" fillId="23" borderId="32" xfId="0" applyNumberFormat="1" applyFont="1" applyFill="1" applyBorder="1" applyAlignment="1">
      <x:alignment vertical="top"/>
    </x:xf>
    <x:xf numFmtId="0" fontId="30" fillId="23" borderId="33" xfId="0" applyNumberFormat="1" applyFont="1" applyFill="1" applyBorder="1" applyAlignment="1">
      <x:alignment vertical="top"/>
    </x:xf>
    <x:xf numFmtId="0" fontId="30" fillId="23" borderId="34" xfId="0" applyNumberFormat="1" applyFont="1" applyFill="1" applyBorder="1" applyAlignment="1">
      <x:alignment vertical="top"/>
    </x:xf>
    <x:xf numFmtId="0" fontId="30" fillId="23" borderId="35" xfId="0" applyNumberFormat="1" applyFont="1" applyFill="1" applyBorder="1" applyAlignment="1">
      <x:alignment vertical="top"/>
    </x:xf>
    <x:xf numFmtId="0" fontId="30" fillId="23" borderId="2" xfId="0" applyNumberFormat="1" applyFont="1" applyFill="1" applyBorder="1" applyAlignment="1">
      <x:alignment vertical="center"/>
    </x:xf>
    <x:xf numFmtId="0" fontId="30" fillId="23" xfId="0" applyNumberFormat="1" applyFont="1" applyFill="1" applyBorder="0" applyAlignment="1">
      <x:alignment vertical="center"/>
    </x:xf>
    <x:xf numFmtId="0" fontId="30" fillId="23" borderId="32" xfId="0" applyNumberFormat="1" applyFont="1" applyFill="1" applyBorder="1" applyAlignment="1">
      <x:alignment vertical="center"/>
    </x:xf>
    <x:xf numFmtId="0" fontId="30" fillId="23" borderId="33" xfId="0" applyNumberFormat="1" applyFont="1" applyFill="1" applyBorder="1" applyAlignment="1">
      <x:alignment vertical="center"/>
    </x:xf>
    <x:xf numFmtId="0" fontId="30" fillId="23" borderId="34" xfId="0" applyNumberFormat="1" applyFont="1" applyFill="1" applyBorder="1" applyAlignment="1">
      <x:alignment vertical="center"/>
    </x:xf>
    <x:xf numFmtId="0" fontId="30" fillId="23" borderId="35" xfId="0" applyNumberFormat="1" applyFont="1" applyFill="1" applyBorder="1" applyAlignment="1">
      <x:alignment vertical="center"/>
    </x:xf>
    <x:xf numFmtId="0" fontId="30" fillId="23" borderId="2" xfId="0" applyNumberFormat="1" applyFont="1" applyFill="1" applyBorder="1" applyAlignment="1">
      <x:alignment horizontal="left" vertical="center"/>
    </x:xf>
    <x:xf numFmtId="0" fontId="30" fillId="23" borderId="33" xfId="0" applyNumberFormat="1" applyFont="1" applyFill="1" applyBorder="1" applyAlignment="1">
      <x:alignment horizontal="left" vertical="center"/>
    </x:xf>
    <x:xf numFmtId="0" fontId="30" fillId="23" xfId="0" applyNumberFormat="1" applyFont="1" applyFill="1" applyBorder="0" applyAlignment="1">
      <x:alignment horizontal="center" vertical="center"/>
    </x:xf>
    <x:xf numFmtId="0" fontId="30" fillId="23" borderId="34" xfId="0" applyNumberFormat="1" applyFont="1" applyFill="1" applyBorder="1" applyAlignment="1">
      <x:alignment horizontal="center" vertical="center"/>
    </x:xf>
    <x:xf numFmtId="0" fontId="30" fillId="23" borderId="32" xfId="0" applyNumberFormat="1" applyFont="1" applyFill="1" applyBorder="1" applyAlignment="1">
      <x:alignment horizontal="center" vertical="center"/>
    </x:xf>
    <x:xf numFmtId="0" fontId="30" fillId="23" borderId="35" xfId="0" applyNumberFormat="1" applyFont="1" applyFill="1" applyBorder="1" applyAlignment="1">
      <x:alignment horizontal="center" vertical="center"/>
    </x:xf>
    <x:xf numFmtId="201" fontId="30" fillId="23" borderId="1" xfId="0" applyNumberFormat="1" applyFont="1" applyFill="1" applyBorder="1" applyAlignment="1">
      <x:alignment horizontal="center" vertical="center"/>
    </x:xf>
    <x:xf numFmtId="201" fontId="30" fillId="23" xfId="0" applyNumberFormat="1" applyFont="1" applyFill="1" applyBorder="0" applyAlignment="1">
      <x:alignment horizontal="center" vertical="center"/>
    </x:xf>
    <x:xf numFmtId="201" fontId="30" fillId="23" borderId="34" xfId="0" applyNumberFormat="1" applyFont="1" applyFill="1" applyBorder="1" applyAlignment="1">
      <x:alignment horizontal="center" vertical="center"/>
    </x:xf>
    <x:xf numFmtId="203" fontId="30" fillId="23" borderId="1" xfId="0" applyNumberFormat="1" applyFont="1" applyFill="1" applyBorder="1" applyAlignment="1">
      <x:alignment horizontal="center" vertical="center"/>
    </x:xf>
    <x:xf numFmtId="203" fontId="30" fillId="23" xfId="0" applyNumberFormat="1" applyFont="1" applyFill="1" applyBorder="0" applyAlignment="1">
      <x:alignment horizontal="center" vertical="center"/>
    </x:xf>
    <x:xf numFmtId="203" fontId="30" fillId="23" borderId="34" xfId="0" applyNumberFormat="1" applyFont="1" applyFill="1" applyBorder="1" applyAlignment="1">
      <x:alignment horizontal="center" vertical="center"/>
    </x:xf>
    <x:xf numFmtId="0" fontId="19" fillId="16" borderId="0" xfId="0" applyNumberFormat="1" applyFont="1" applyFill="1" applyBorder="1" applyAlignment="1">
      <x:alignment vertical="top"/>
    </x:xf>
    <x:xf numFmtId="0" fontId="19" fillId="16" borderId="36" xfId="0" applyNumberFormat="1" applyFont="1" applyFill="1" applyBorder="1" applyAlignment="1">
      <x:alignment vertical="top"/>
    </x:xf>
    <x:xf numFmtId="0" fontId="19" fillId="16" borderId="36" xfId="0" applyNumberFormat="1" applyFont="1" applyFill="1" applyBorder="1" applyAlignment="1">
      <x:alignment horizontal="center" vertical="top"/>
    </x:xf>
    <x:xf numFmtId="0" fontId="19" fillId="16" borderId="36" xfId="0" applyNumberFormat="1" applyFont="1" applyFill="1" applyBorder="1" applyAlignment="1">
      <x:alignment horizontal="center" vertical="center"/>
    </x:xf>
    <x:xf numFmtId="203" fontId="19" fillId="16" borderId="36" xfId="0" applyNumberFormat="1" applyFont="1" applyFill="1" applyBorder="1" applyAlignment="1">
      <x:alignment horizontal="center" vertical="center"/>
    </x:xf>
    <x:xf numFmtId="201" fontId="19" fillId="16" borderId="36" xfId="0" applyNumberFormat="1" applyFont="1" applyFill="1" applyBorder="1" applyAlignment="1">
      <x:alignment horizontal="center" vertical="center"/>
    </x:xf>
    <x:xf numFmtId="0" fontId="31" fillId="15" borderId="0" xfId="0" applyNumberFormat="1" applyFont="1" applyFill="1" applyBorder="1" applyAlignment="1">
      <x:alignment vertical="top"/>
    </x:xf>
    <x:xf numFmtId="0" fontId="31" fillId="15" borderId="0" xfId="0" applyNumberFormat="1" applyFont="1" applyFill="1" applyBorder="1" applyAlignment="1">
      <x:alignment vertical="top" wrapText="1"/>
    </x:xf>
    <x:xf numFmtId="0" fontId="31" fillId="15" borderId="0" xfId="0" applyNumberFormat="1" applyFont="1" applyFill="1" applyBorder="1" applyAlignment="1">
      <x:alignment horizontal="center" vertical="top" wrapText="1"/>
    </x:xf>
    <x:xf numFmtId="0" fontId="31" fillId="15" borderId="0" xfId="0" applyNumberFormat="1" applyFont="1" applyFill="1" applyBorder="1" applyAlignment="1">
      <x:alignment horizontal="center" vertical="center" wrapText="1"/>
    </x:xf>
    <x:xf numFmtId="0" fontId="30" fillId="0" borderId="0" xfId="0" applyNumberFormat="1" applyFont="1" applyFill="1" applyBorder="1" applyAlignment="1">
      <x:alignment vertical="top"/>
    </x:xf>
    <x:xf numFmtId="0" fontId="30" fillId="0" xfId="0" applyNumberFormat="1" applyFont="1" applyFill="1" applyBorder="0" applyAlignment="1">
      <x:alignment vertical="top"/>
    </x:xf>
    <x:xf numFmtId="0" fontId="30" fillId="0" borderId="34" xfId="0" applyNumberFormat="1" applyFont="1" applyFill="1" applyBorder="1" applyAlignment="1">
      <x:alignment vertical="top"/>
    </x:xf>
    <x:xf numFmtId="0" fontId="30" fillId="0" xfId="0" applyNumberFormat="1" applyFont="1" applyFill="1" applyBorder="0" applyAlignment="1">
      <x:alignment horizontal="center" vertical="top"/>
    </x:xf>
    <x:xf numFmtId="0" fontId="30" fillId="0" borderId="34" xfId="0" applyNumberFormat="1" applyFont="1" applyFill="1" applyBorder="1" applyAlignment="1">
      <x:alignment horizontal="center" vertical="top"/>
    </x:xf>
    <x:xf numFmtId="203" fontId="30" fillId="0" xfId="0" applyNumberFormat="1" applyFont="1" applyFill="1" applyBorder="0" applyAlignment="1">
      <x:alignment horizontal="center" vertical="top"/>
    </x:xf>
    <x:xf numFmtId="203" fontId="30" fillId="0" borderId="34" xfId="0" applyNumberFormat="1" applyFont="1" applyFill="1" applyBorder="1" applyAlignment="1">
      <x:alignment horizontal="center" vertical="top"/>
    </x:xf>
    <x:xf numFmtId="204" fontId="30" fillId="0" xfId="0" applyNumberFormat="1" applyFont="1" applyFill="1" applyBorder="0" applyAlignment="1">
      <x:alignment horizontal="center" vertical="top"/>
    </x:xf>
    <x:xf numFmtId="204" fontId="30" fillId="0" borderId="34" xfId="0" applyNumberFormat="1" applyFont="1" applyFill="1" applyBorder="1" applyAlignment="1">
      <x:alignment horizontal="center" vertical="top"/>
    </x:xf>
    <x:xf numFmtId="0" fontId="32" fillId="9" borderId="0" xfId="0" applyNumberFormat="1" applyFont="1" applyFill="1" applyBorder="1" applyAlignment="1">
      <x:alignment vertical="top"/>
    </x:xf>
    <x:xf numFmtId="0" fontId="17" fillId="12" borderId="30" xfId="0" applyNumberFormat="1" applyFont="1" applyFill="1" applyBorder="1" applyAlignment="1">
      <x:alignment vertical="top"/>
    </x:xf>
    <x:xf numFmtId="0" fontId="17" fillId="12" borderId="30" xfId="0" applyNumberFormat="1" applyFont="1" applyFill="1" applyBorder="1" applyAlignment="1">
      <x:alignment horizontal="left" vertical="top"/>
    </x:xf>
    <x:xf numFmtId="0" fontId="17" fillId="12" borderId="30" xfId="0" applyNumberFormat="1" applyFont="1" applyFill="1" applyBorder="1" applyAlignment="1">
      <x:alignment horizontal="left" vertical="center"/>
    </x:xf>
    <x:xf numFmtId="0" fontId="11" fillId="14" borderId="1" xfId="0" applyNumberFormat="1" applyFont="1" applyFill="1" applyBorder="1" applyAlignment="1">
      <x:alignment horizontal="center" vertical="center"/>
    </x:xf>
    <x:xf numFmtId="0" fontId="24" fillId="14" borderId="1" xfId="0" applyNumberFormat="1" applyFont="1" applyFill="1" applyBorder="1" applyAlignment="1">
      <x:alignment horizontal="center" vertical="center"/>
    </x:xf>
    <x:xf numFmtId="165" fontId="13" fillId="14" borderId="4" xfId="0" applyNumberFormat="1" applyFont="1" applyFill="1" applyBorder="1" applyAlignment="1">
      <x:alignment horizontal="center" vertical="center"/>
    </x:xf>
    <x:xf numFmtId="165" fontId="24" fillId="14" borderId="4" xfId="0" applyNumberFormat="1" applyFont="1" applyFill="1" applyBorder="1" applyAlignment="1">
      <x:alignment horizontal="center" vertical="center"/>
    </x:xf>
    <x:xf numFmtId="0" fontId="14" fillId="14" borderId="0" xfId="0" applyNumberFormat="1" applyFont="1" applyFill="1" applyBorder="1" applyAlignment="1">
      <x:alignment vertical="center"/>
    </x:xf>
    <x:xf numFmtId="0" fontId="25" fillId="14" borderId="0" xfId="0" applyNumberFormat="1" applyFont="1" applyFill="1" applyBorder="1" applyAlignment="1">
      <x:alignment vertical="center"/>
    </x:xf>
    <x:xf numFmtId="0" fontId="25" fillId="14" borderId="0" xfId="0" applyNumberFormat="1" applyFont="1" applyFill="1" applyBorder="1" applyAlignment="1">
      <x:alignment horizontal="center" vertical="center"/>
    </x:xf>
    <x:xf numFmtId="0" fontId="14" fillId="13" borderId="0" xfId="0" applyNumberFormat="1" applyFont="1" applyFill="1" applyBorder="1" applyAlignment="1">
      <x:alignment vertical="center"/>
    </x:xf>
    <x:xf numFmtId="0" fontId="27" fillId="13" borderId="0" xfId="0" applyNumberFormat="1" applyFont="1" applyFill="1" applyBorder="1" applyAlignment="1">
      <x:alignment vertical="center"/>
    </x:xf>
    <x:xf numFmtId="0" fontId="27" fillId="13" borderId="0" xfId="0" applyNumberFormat="1" applyFont="1" applyFill="1" applyBorder="1" applyAlignment="1">
      <x:alignment horizontal="center" vertical="center"/>
    </x:xf>
    <x:xf numFmtId="0" fontId="19" fillId="12" borderId="36" xfId="0" applyNumberFormat="1" applyFont="1" applyFill="1" applyBorder="1" applyAlignment="1">
      <x:alignment vertical="top"/>
    </x:xf>
    <x:xf numFmtId="0" fontId="19" fillId="12" borderId="36" xfId="0" applyNumberFormat="1" applyFont="1" applyFill="1" applyBorder="1" applyAlignment="1">
      <x:alignment horizontal="center" vertical="top"/>
    </x:xf>
    <x:xf numFmtId="0" fontId="19" fillId="12" borderId="36" xfId="0" applyNumberFormat="1" applyFont="1" applyFill="1" applyBorder="1" applyAlignment="1">
      <x:alignment horizontal="center" vertical="center"/>
    </x:xf>
    <x:xf numFmtId="203" fontId="19" fillId="12" borderId="36" xfId="0" applyNumberFormat="1" applyFont="1" applyFill="1" applyBorder="1" applyAlignment="1">
      <x:alignment horizontal="center" vertical="center"/>
    </x:xf>
    <x:xf numFmtId="201" fontId="19" fillId="12" borderId="36" xfId="0" applyNumberFormat="1" applyFont="1" applyFill="1" applyBorder="1" applyAlignment="1">
      <x:alignment horizontal="center" vertical="center"/>
    </x:xf>
    <x:xf numFmtId="0" fontId="31" fillId="14" borderId="0" xfId="0" applyNumberFormat="1" applyFont="1" applyFill="1" applyBorder="1" applyAlignment="1">
      <x:alignment vertical="top"/>
    </x:xf>
    <x:xf numFmtId="0" fontId="31" fillId="14" borderId="0" xfId="0" applyNumberFormat="1" applyFont="1" applyFill="1" applyBorder="1" applyAlignment="1">
      <x:alignment vertical="top" wrapText="1"/>
    </x:xf>
    <x:xf numFmtId="0" fontId="31" fillId="14" borderId="0" xfId="0" applyNumberFormat="1" applyFont="1" applyFill="1" applyBorder="1" applyAlignment="1">
      <x:alignment horizontal="center" vertical="top" wrapText="1"/>
    </x:xf>
    <x:xf numFmtId="0" fontId="31" fillId="14" borderId="0" xfId="0" applyNumberFormat="1" applyFont="1" applyFill="1" applyBorder="1" applyAlignment="1">
      <x:alignment horizontal="center" vertical="center" wrapText="1"/>
    </x:xf>
    <x:xf numFmtId="0" fontId="6" fillId="24" borderId="1" xfId="0" applyNumberFormat="1" applyFont="1" applyFill="1" applyBorder="1" applyAlignment="1">
      <x:alignment horizontal="center" vertical="top"/>
    </x:xf>
    <x:xf numFmtId="17" fontId="6" fillId="24" borderId="1" xfId="0" applyNumberFormat="1" applyFont="1" applyFill="1" applyBorder="1" applyAlignment="1">
      <x:alignment horizontal="center" vertical="top"/>
    </x:xf>
    <x:xf numFmtId="0" fontId="33" fillId="24" borderId="1" xfId="0" applyNumberFormat="1" applyFont="1" applyFill="1" applyBorder="1" applyAlignment="1">
      <x:alignment horizontal="center" vertical="top"/>
    </x:xf>
    <x:xf numFmtId="17" fontId="33" fillId="24" borderId="1" xfId="0" applyNumberFormat="1" applyFont="1" applyFill="1" applyBorder="1" applyAlignment="1">
      <x:alignment horizontal="center" vertical="top"/>
    </x:xf>
    <x:xf numFmtId="0" fontId="33" fillId="24" borderId="37" xfId="0" applyNumberFormat="1" applyFont="1" applyFill="1" applyBorder="1" applyAlignment="1">
      <x:alignment horizontal="center" vertical="top"/>
    </x:xf>
    <x:xf numFmtId="17" fontId="33" fillId="24" borderId="37" xfId="0" applyNumberFormat="1" applyFont="1" applyFill="1" applyBorder="1" applyAlignment="1">
      <x:alignment horizontal="center" vertical="top"/>
    </x:xf>
    <x:xf numFmtId="0" fontId="33" fillId="24" borderId="37" xfId="0" applyNumberFormat="1" applyFont="1" applyFill="1" applyBorder="1" applyAlignment="1">
      <x:alignment horizontal="center" vertical="center"/>
    </x:xf>
    <x:xf numFmtId="17" fontId="33" fillId="24" borderId="37" xfId="0" applyNumberFormat="1" applyFont="1" applyFill="1" applyBorder="1" applyAlignment="1">
      <x:alignment horizontal="center" vertical="center"/>
    </x:xf>
    <x:xf numFmtId="200" fontId="33" fillId="24" borderId="37" xfId="0" applyNumberFormat="1" applyFont="1" applyFill="1" applyBorder="1" applyAlignment="1">
      <x:alignment horizontal="center" vertical="center"/>
    </x:xf>
    <x:xf numFmtId="0" fontId="30" fillId="3" borderId="1" xfId="0" applyNumberFormat="1" applyFont="1" applyFill="1" applyBorder="1" applyAlignment="1">
      <x:alignment horizontal="center" vertical="top"/>
    </x:xf>
    <x:xf numFmtId="3" fontId="30" fillId="0" borderId="1" xfId="0" applyNumberFormat="1" applyFont="1" applyFill="1" applyBorder="1" applyAlignment="1">
      <x:alignment horizontal="center" vertical="top"/>
    </x:xf>
    <x:xf numFmtId="3" fontId="30" fillId="3" borderId="1" xfId="0" applyNumberFormat="1" applyFont="1" applyFill="1" applyBorder="1" applyAlignment="1">
      <x:alignment horizontal="center" vertical="top"/>
    </x:xf>
    <x:xf numFmtId="0" fontId="30" fillId="0" borderId="1" xfId="0" applyNumberFormat="1" applyFont="1" applyFill="1" applyBorder="1" applyAlignment="1">
      <x:alignment horizontal="center"/>
    </x:xf>
    <x:xf numFmtId="3" fontId="34" fillId="3" borderId="1" xfId="0" applyNumberFormat="1" applyFont="1" applyFill="1" applyBorder="1" applyAlignment="1">
      <x:alignment horizontal="center" vertical="top"/>
    </x:xf>
    <x:xf numFmtId="3" fontId="34" fillId="0" borderId="1" xfId="0" applyNumberFormat="1" applyFont="1" applyFill="1" applyBorder="1" applyAlignment="1">
      <x:alignment horizontal="center" vertical="top"/>
    </x:xf>
    <x:xf numFmtId="0" fontId="35" fillId="0" borderId="1" xfId="0" applyNumberFormat="1" applyFont="1" applyFill="1" applyBorder="1" applyAlignment="1">
      <x:alignment horizontal="center" vertical="center" wrapText="1"/>
    </x:xf>
    <x:xf numFmtId="0" fontId="35" fillId="0" borderId="5" xfId="0" applyNumberFormat="1" applyFont="1" applyFill="1" applyBorder="1" applyAlignment="1">
      <x:alignment horizontal="center" vertical="center" wrapText="1"/>
    </x:xf>
    <x:xf numFmtId="3" fontId="30" fillId="4" borderId="1" xfId="0" applyNumberFormat="1" applyFont="1" applyFill="1" applyBorder="1" applyAlignment="1">
      <x:alignment horizontal="center" vertical="top"/>
    </x:xf>
    <x:xf numFmtId="0" fontId="30" fillId="4" borderId="1" xfId="0" applyNumberFormat="1" applyFont="1" applyFill="1" applyBorder="1" applyAlignment="1">
      <x:alignment vertical="top"/>
    </x:xf>
    <x:xf numFmtId="0" fontId="30" fillId="4" borderId="1" xfId="0" applyNumberFormat="1" applyFont="1" applyFill="1" applyBorder="1" applyAlignment="1">
      <x:alignment horizontal="center"/>
    </x:xf>
    <x:xf numFmtId="0" fontId="30" fillId="0" borderId="1" xfId="0" applyNumberFormat="1" applyFont="1" applyFill="1" applyBorder="1" applyAlignment="1">
      <x:alignment horizontal="center" vertical="top"/>
    </x:xf>
    <x:xf numFmtId="3" fontId="30" fillId="0" borderId="38" xfId="0" applyNumberFormat="1" applyFont="1" applyFill="1" applyBorder="1" applyAlignment="1">
      <x:alignment horizontal="center" vertical="top"/>
    </x:xf>
    <x:xf numFmtId="0" fontId="30" fillId="0" borderId="38" xfId="0" applyNumberFormat="1" applyFont="1" applyFill="1" applyBorder="1" applyAlignment="1">
      <x:alignment horizontal="center" vertical="top"/>
    </x:xf>
    <x:xf numFmtId="0" fontId="30" fillId="0" borderId="2" xfId="0" applyNumberFormat="1" applyFont="1" applyFill="1" applyBorder="1" applyAlignment="1">
      <x:alignment vertical="top"/>
    </x:xf>
    <x:xf numFmtId="0" fontId="30" fillId="0" borderId="39" xfId="0" applyNumberFormat="1" applyFont="1" applyFill="1" applyBorder="1" applyAlignment="1">
      <x:alignment vertical="top"/>
    </x:xf>
    <x:xf numFmtId="0" fontId="30" fillId="0" borderId="33" xfId="0" applyNumberFormat="1" applyFont="1" applyFill="1" applyBorder="1" applyAlignment="1">
      <x:alignment vertical="top"/>
    </x:xf>
    <x:xf numFmtId="0" fontId="30" fillId="0" borderId="40" xfId="0" applyNumberFormat="1" applyFont="1" applyFill="1" applyBorder="1" applyAlignment="1">
      <x:alignment vertical="top"/>
    </x:xf>
    <x:xf numFmtId="0" fontId="30" fillId="4" borderId="1" xfId="0" applyNumberFormat="1" applyFont="1" applyFill="1" applyBorder="1" applyAlignment="1">
      <x:alignment horizontal="center" vertical="top"/>
    </x:xf>
    <x:xf numFmtId="0" fontId="30" fillId="0" borderId="2" xfId="0" applyNumberFormat="1" applyFont="1" applyFill="1" applyBorder="1" applyAlignment="1">
      <x:alignment horizontal="center" vertical="top"/>
    </x:xf>
    <x:xf numFmtId="0" fontId="30" fillId="0" borderId="39" xfId="0" applyNumberFormat="1" applyFont="1" applyFill="1" applyBorder="1" applyAlignment="1">
      <x:alignment horizontal="center" vertical="top"/>
    </x:xf>
    <x:xf numFmtId="0" fontId="30" fillId="0" borderId="33" xfId="0" applyNumberFormat="1" applyFont="1" applyFill="1" applyBorder="1" applyAlignment="1">
      <x:alignment horizontal="center" vertical="top"/>
    </x:xf>
    <x:xf numFmtId="0" fontId="30" fillId="0" borderId="40" xfId="0" applyNumberFormat="1" applyFont="1" applyFill="1" applyBorder="1" applyAlignment="1">
      <x:alignment horizontal="center" vertical="top"/>
    </x:xf>
    <x:xf numFmtId="0" fontId="30" fillId="3" borderId="1" xfId="0" applyNumberFormat="1" applyFont="1" applyFill="1" applyBorder="1" applyAlignment="1">
      <x:alignment horizontal="center" vertical="center"/>
    </x:xf>
    <x:xf numFmtId="3" fontId="30" fillId="0" borderId="1" xfId="0" applyNumberFormat="1" applyFont="1" applyFill="1" applyBorder="1" applyAlignment="1">
      <x:alignment horizontal="center" vertical="center"/>
    </x:xf>
    <x:xf numFmtId="3" fontId="30" fillId="3" borderId="1" xfId="0" applyNumberFormat="1" applyFont="1" applyFill="1" applyBorder="1" applyAlignment="1">
      <x:alignment horizontal="center" vertical="center"/>
    </x:xf>
    <x:xf numFmtId="0" fontId="30" fillId="0" borderId="1" xfId="0" applyNumberFormat="1" applyFont="1" applyFill="1" applyBorder="1" applyAlignment="1">
      <x:alignment horizontal="center" vertical="center"/>
    </x:xf>
    <x:xf numFmtId="3" fontId="30" fillId="0" borderId="38" xfId="0" applyNumberFormat="1" applyFont="1" applyFill="1" applyBorder="1" applyAlignment="1">
      <x:alignment horizontal="center" vertical="center"/>
    </x:xf>
    <x:xf numFmtId="3" fontId="34" fillId="3" borderId="1" xfId="0" applyNumberFormat="1" applyFont="1" applyFill="1" applyBorder="1" applyAlignment="1">
      <x:alignment horizontal="center" vertical="center"/>
    </x:xf>
    <x:xf numFmtId="3" fontId="34" fillId="0" borderId="1" xfId="0" applyNumberFormat="1" applyFont="1" applyFill="1" applyBorder="1" applyAlignment="1">
      <x:alignment horizontal="center" vertical="center"/>
    </x:xf>
    <x:xf numFmtId="3" fontId="30" fillId="4" borderId="1" xfId="0" applyNumberFormat="1" applyFont="1" applyFill="1" applyBorder="1" applyAlignment="1">
      <x:alignment horizontal="center" vertical="center"/>
    </x:xf>
    <x:xf numFmtId="0" fontId="30" fillId="4" borderId="1" xfId="0" applyNumberFormat="1" applyFont="1" applyFill="1" applyBorder="1" applyAlignment="1">
      <x:alignment horizontal="center" vertical="center"/>
    </x:xf>
    <x:xf numFmtId="0" fontId="30" fillId="0" borderId="38" xfId="0" applyNumberFormat="1" applyFont="1" applyFill="1" applyBorder="1" applyAlignment="1">
      <x:alignment horizontal="center" vertical="center"/>
    </x:xf>
    <x:xf numFmtId="0" fontId="30" fillId="0" borderId="2" xfId="0" applyNumberFormat="1" applyFont="1" applyFill="1" applyBorder="1" applyAlignment="1">
      <x:alignment horizontal="center" vertical="center"/>
    </x:xf>
    <x:xf numFmtId="0" fontId="30" fillId="0" xfId="0" applyNumberFormat="1" applyFont="1" applyFill="1" applyBorder="0" applyAlignment="1">
      <x:alignment horizontal="center" vertical="center"/>
    </x:xf>
    <x:xf numFmtId="0" fontId="30" fillId="0" borderId="39" xfId="0" applyNumberFormat="1" applyFont="1" applyFill="1" applyBorder="1" applyAlignment="1">
      <x:alignment horizontal="center" vertical="center"/>
    </x:xf>
    <x:xf numFmtId="0" fontId="30" fillId="0" borderId="33" xfId="0" applyNumberFormat="1" applyFont="1" applyFill="1" applyBorder="1" applyAlignment="1">
      <x:alignment horizontal="center" vertical="center"/>
    </x:xf>
    <x:xf numFmtId="0" fontId="30" fillId="0" borderId="34" xfId="0" applyNumberFormat="1" applyFont="1" applyFill="1" applyBorder="1" applyAlignment="1">
      <x:alignment horizontal="center" vertical="center"/>
    </x:xf>
    <x:xf numFmtId="0" fontId="30" fillId="0" borderId="40" xfId="0" applyNumberFormat="1" applyFont="1" applyFill="1" applyBorder="1" applyAlignment="1">
      <x:alignment horizontal="center" vertical="center"/>
    </x:xf>
    <x:xf numFmtId="0" fontId="30" fillId="25" borderId="1" xfId="0" applyNumberFormat="1" applyFont="1" applyFill="1" applyBorder="1" applyAlignment="1">
      <x:alignment horizontal="center" vertical="center"/>
    </x:xf>
    <x:xf numFmtId="0" fontId="30" fillId="25" borderId="2" xfId="0" applyNumberFormat="1" applyFont="1" applyFill="1" applyBorder="1" applyAlignment="1">
      <x:alignment horizontal="center" vertical="center"/>
    </x:xf>
    <x:xf numFmtId="0" fontId="30" fillId="25" borderId="33" xfId="0" applyNumberFormat="1" applyFont="1" applyFill="1" applyBorder="1" applyAlignment="1">
      <x:alignment horizontal="center" vertical="center"/>
    </x:xf>
    <x:xf numFmtId="0" fontId="36" fillId="25" borderId="1" xfId="0" applyNumberFormat="1" applyFont="1" applyFill="1" applyBorder="1" applyAlignment="1">
      <x:alignment horizontal="center" vertical="center"/>
    </x:xf>
    <x:xf numFmtId="0" fontId="36" fillId="25" borderId="2" xfId="0" applyNumberFormat="1" applyFont="1" applyFill="1" applyBorder="1" applyAlignment="1">
      <x:alignment horizontal="center" vertical="center"/>
    </x:xf>
    <x:xf numFmtId="0" fontId="36" fillId="25" borderId="33" xfId="0" applyNumberFormat="1" applyFont="1" applyFill="1" applyBorder="1" applyAlignment="1">
      <x:alignment horizontal="center" vertical="center"/>
    </x:xf>
    <x:xf numFmtId="0" fontId="36" fillId="25" borderId="41" xfId="0" applyNumberFormat="1" applyFont="1" applyFill="1" applyBorder="1" applyAlignment="1">
      <x:alignment horizontal="center" vertical="center"/>
    </x:xf>
    <x:xf numFmtId="0" fontId="36" fillId="25" borderId="42" xfId="0" applyNumberFormat="1" applyFont="1" applyFill="1" applyBorder="1" applyAlignment="1">
      <x:alignment horizontal="center" vertical="center"/>
    </x:xf>
    <x:xf numFmtId="0" fontId="36" fillId="25" borderId="43" xfId="0" applyNumberFormat="1" applyFont="1" applyFill="1" applyBorder="1" applyAlignment="1">
      <x:alignment horizontal="center" vertical="center"/>
    </x:xf>
    <x:xf numFmtId="201" fontId="30" fillId="0" borderId="1" xfId="0" applyNumberFormat="1" applyFont="1" applyFill="1" applyBorder="1" applyAlignment="1">
      <x:alignment horizontal="center" vertical="center"/>
    </x:xf>
    <x:xf numFmtId="201" fontId="30" fillId="3" borderId="1" xfId="0" applyNumberFormat="1" applyFont="1" applyFill="1" applyBorder="1" applyAlignment="1">
      <x:alignment horizontal="center" vertical="center"/>
    </x:xf>
    <x:xf numFmtId="201" fontId="30" fillId="0" borderId="38" xfId="0" applyNumberFormat="1" applyFont="1" applyFill="1" applyBorder="1" applyAlignment="1">
      <x:alignment horizontal="center" vertical="center"/>
    </x:xf>
    <x:xf numFmtId="201" fontId="34" fillId="3" borderId="1" xfId="0" applyNumberFormat="1" applyFont="1" applyFill="1" applyBorder="1" applyAlignment="1">
      <x:alignment horizontal="center" vertical="center"/>
    </x:xf>
    <x:xf numFmtId="201" fontId="34" fillId="0" borderId="1" xfId="0" applyNumberFormat="1" applyFont="1" applyFill="1" applyBorder="1" applyAlignment="1">
      <x:alignment horizontal="center" vertical="center"/>
    </x:xf>
    <x:xf numFmtId="201" fontId="35" fillId="0" borderId="1" xfId="0" applyNumberFormat="1" applyFont="1" applyFill="1" applyBorder="1" applyAlignment="1">
      <x:alignment horizontal="center" vertical="center" wrapText="1"/>
    </x:xf>
    <x:xf numFmtId="201" fontId="35" fillId="0" borderId="5" xfId="0" applyNumberFormat="1" applyFont="1" applyFill="1" applyBorder="1" applyAlignment="1">
      <x:alignment horizontal="center" vertical="center" wrapText="1"/>
    </x:xf>
    <x:xf numFmtId="201" fontId="30" fillId="4" borderId="1" xfId="0" applyNumberFormat="1" applyFont="1" applyFill="1" applyBorder="1" applyAlignment="1">
      <x:alignment horizontal="center" vertical="center"/>
    </x:xf>
    <x:xf numFmtId="201" fontId="30" fillId="0" xfId="0" applyNumberFormat="1" applyFont="1" applyFill="1" applyBorder="0" applyAlignment="1">
      <x:alignment horizontal="center" vertical="center"/>
    </x:xf>
    <x:xf numFmtId="201" fontId="30" fillId="0" borderId="39" xfId="0" applyNumberFormat="1" applyFont="1" applyFill="1" applyBorder="1" applyAlignment="1">
      <x:alignment horizontal="center" vertical="center"/>
    </x:xf>
    <x:xf numFmtId="201" fontId="30" fillId="0" borderId="34" xfId="0" applyNumberFormat="1" applyFont="1" applyFill="1" applyBorder="1" applyAlignment="1">
      <x:alignment horizontal="center" vertical="center"/>
    </x:xf>
    <x:xf numFmtId="201" fontId="30" fillId="0" borderId="40" xfId="0" applyNumberFormat="1" applyFont="1" applyFill="1" applyBorder="1" applyAlignment="1">
      <x:alignment horizontal="center" vertical="center"/>
    </x:xf>
    <x:xf numFmtId="3" fontId="35" fillId="0" borderId="1" xfId="0" applyNumberFormat="1" applyFont="1" applyFill="1" applyBorder="1" applyAlignment="1">
      <x:alignment horizontal="center" vertical="top"/>
    </x:xf>
    <x:xf numFmtId="3" fontId="35" fillId="3" borderId="1" xfId="0" applyNumberFormat="1" applyFont="1" applyFill="1" applyBorder="1" applyAlignment="1">
      <x:alignment horizontal="center" vertical="top"/>
    </x:xf>
    <x:xf numFmtId="0" fontId="30" fillId="3" borderId="5" xfId="0" applyNumberFormat="1" applyFont="1" applyFill="1" applyBorder="1" applyAlignment="1">
      <x:alignment horizontal="center" vertical="top"/>
    </x:xf>
    <x:xf numFmtId="3" fontId="30" fillId="4" borderId="5" xfId="0" applyNumberFormat="1" applyFont="1" applyFill="1" applyBorder="1" applyAlignment="1">
      <x:alignment horizontal="center" vertical="top"/>
    </x:xf>
    <x:xf numFmtId="3" fontId="30" fillId="0" borderId="5" xfId="0" applyNumberFormat="1" applyFont="1" applyFill="1" applyBorder="1" applyAlignment="1">
      <x:alignment horizontal="center" vertical="top"/>
    </x:xf>
    <x:xf numFmtId="0" fontId="30" fillId="3" borderId="1" xfId="0" applyNumberFormat="1" applyFont="1" applyFill="1" applyBorder="1" applyAlignment="1">
      <x:alignment horizontal="center"/>
    </x:xf>
    <x:xf numFmtId="3" fontId="30" fillId="0" borderId="44" xfId="0" applyNumberFormat="1" applyFont="1" applyFill="1" applyBorder="1" applyAlignment="1">
      <x:alignment horizontal="center" vertical="top"/>
    </x:xf>
    <x:xf numFmtId="3" fontId="35" fillId="0" borderId="1" xfId="0" applyNumberFormat="1" applyFont="1" applyFill="1" applyBorder="1" applyAlignment="1">
      <x:alignment horizontal="center" vertical="center"/>
    </x:xf>
    <x:xf numFmtId="3" fontId="35" fillId="3" borderId="1" xfId="0" applyNumberFormat="1" applyFont="1" applyFill="1" applyBorder="1" applyAlignment="1">
      <x:alignment horizontal="center" vertical="center"/>
    </x:xf>
    <x:xf numFmtId="0" fontId="30" fillId="3" borderId="5" xfId="0" applyNumberFormat="1" applyFont="1" applyFill="1" applyBorder="1" applyAlignment="1">
      <x:alignment horizontal="center" vertical="center"/>
    </x:xf>
    <x:xf numFmtId="3" fontId="30" fillId="4" borderId="5" xfId="0" applyNumberFormat="1" applyFont="1" applyFill="1" applyBorder="1" applyAlignment="1">
      <x:alignment horizontal="center" vertical="center"/>
    </x:xf>
    <x:xf numFmtId="3" fontId="30" fillId="0" borderId="5" xfId="0" applyNumberFormat="1" applyFont="1" applyFill="1" applyBorder="1" applyAlignment="1">
      <x:alignment horizontal="center" vertical="center"/>
    </x:xf>
    <x:xf numFmtId="3" fontId="30" fillId="0" borderId="44" xfId="0" applyNumberFormat="1" applyFont="1" applyFill="1" applyBorder="1" applyAlignment="1">
      <x:alignment horizontal="center" vertical="center"/>
    </x:xf>
    <x:xf numFmtId="0" fontId="30" fillId="25" borderId="5" xfId="0" applyNumberFormat="1" applyFont="1" applyFill="1" applyBorder="1" applyAlignment="1">
      <x:alignment horizontal="center" vertical="center"/>
    </x:xf>
    <x:xf numFmtId="0" fontId="36" fillId="25" borderId="5" xfId="0" applyNumberFormat="1" applyFont="1" applyFill="1" applyBorder="1" applyAlignment="1">
      <x:alignment horizontal="center" vertical="center"/>
    </x:xf>
    <x:xf numFmtId="0" fontId="36" fillId="25" borderId="45" xfId="0" applyNumberFormat="1" applyFont="1" applyFill="1" applyBorder="1" applyAlignment="1">
      <x:alignment horizontal="center" vertical="center"/>
    </x:xf>
    <x:xf numFmtId="201" fontId="35" fillId="0" borderId="1" xfId="0" applyNumberFormat="1" applyFont="1" applyFill="1" applyBorder="1" applyAlignment="1">
      <x:alignment horizontal="center" vertical="center"/>
    </x:xf>
    <x:xf numFmtId="201" fontId="35" fillId="3" borderId="1" xfId="0" applyNumberFormat="1" applyFont="1" applyFill="1" applyBorder="1" applyAlignment="1">
      <x:alignment horizontal="center" vertical="center"/>
    </x:xf>
    <x:xf numFmtId="201" fontId="30" fillId="4" borderId="5" xfId="0" applyNumberFormat="1" applyFont="1" applyFill="1" applyBorder="1" applyAlignment="1">
      <x:alignment horizontal="center" vertical="center"/>
    </x:xf>
    <x:xf numFmtId="201" fontId="30" fillId="0" borderId="5" xfId="0" applyNumberFormat="1" applyFont="1" applyFill="1" applyBorder="1" applyAlignment="1">
      <x:alignment horizontal="center" vertical="center"/>
    </x:xf>
    <x:xf numFmtId="201" fontId="30" fillId="0" borderId="44" xfId="0" applyNumberFormat="1" applyFont="1" applyFill="1" applyBorder="1" applyAlignment="1">
      <x:alignment horizontal="center" vertical="center"/>
    </x:xf>
    <x:xf numFmtId="164" fontId="30" fillId="0" borderId="1" xfId="0" applyNumberFormat="1" applyFont="1" applyFill="1" applyBorder="1" applyAlignment="1">
      <x:alignment horizontal="center" vertical="top"/>
    </x:xf>
    <x:xf numFmtId="164" fontId="30" fillId="0" borderId="1" xfId="0" applyNumberFormat="1" applyFont="1" applyFill="1" applyBorder="1" applyAlignment="1">
      <x:alignment horizontal="center"/>
    </x:xf>
    <x:xf numFmtId="164" fontId="30" fillId="0" borderId="3" xfId="0" applyNumberFormat="1" applyFont="1" applyFill="1" applyBorder="1" applyAlignment="1">
      <x:alignment horizontal="center"/>
    </x:xf>
    <x:xf numFmtId="167" fontId="30" fillId="0" borderId="1" xfId="0" applyNumberFormat="1" applyFont="1" applyFill="1" applyBorder="1" applyAlignment="1">
      <x:alignment horizontal="center"/>
    </x:xf>
    <x:xf numFmtId="167" fontId="30" fillId="11" borderId="1" xfId="0" applyNumberFormat="1" applyFont="1" applyFill="1" applyBorder="1" applyAlignment="1">
      <x:alignment horizontal="center"/>
    </x:xf>
    <x:xf numFmtId="164" fontId="30" fillId="4" borderId="1" xfId="0" applyNumberFormat="1" applyFont="1" applyFill="1" applyBorder="1" applyAlignment="1">
      <x:alignment horizontal="center" vertical="top"/>
    </x:xf>
    <x:xf numFmtId="164" fontId="30" fillId="4" borderId="0" xfId="0" applyNumberFormat="1" applyFont="1" applyFill="1" applyBorder="1" applyAlignment="1">
      <x:alignment horizontal="center" vertical="top"/>
    </x:xf>
    <x:xf numFmtId="164" fontId="30" fillId="0" borderId="5" xfId="0" applyNumberFormat="1" applyFont="1" applyFill="1" applyBorder="1" applyAlignment="1">
      <x:alignment horizontal="center"/>
    </x:xf>
    <x:xf numFmtId="164" fontId="30" fillId="0" borderId="5" xfId="0" applyNumberFormat="1" applyFont="1" applyFill="1" applyBorder="1" applyAlignment="1">
      <x:alignment horizontal="center" vertical="top"/>
    </x:xf>
    <x:xf numFmtId="164" fontId="30" fillId="4" borderId="1" xfId="0" applyNumberFormat="1" applyFont="1" applyFill="1" applyBorder="1" applyAlignment="1">
      <x:alignment horizontal="center"/>
    </x:xf>
    <x:xf numFmtId="164" fontId="30" fillId="11" borderId="1" xfId="0" applyNumberFormat="1" applyFont="1" applyFill="1" applyBorder="1" applyAlignment="1">
      <x:alignment horizontal="center" vertical="top"/>
    </x:xf>
    <x:xf numFmtId="164" fontId="30" fillId="0" borderId="38" xfId="0" applyNumberFormat="1" applyFont="1" applyFill="1" applyBorder="1" applyAlignment="1">
      <x:alignment horizontal="center" vertical="top"/>
    </x:xf>
    <x:xf numFmtId="164" fontId="30" fillId="4" xfId="0" applyNumberFormat="1" applyFont="1" applyFill="1" applyBorder="0" applyAlignment="1">
      <x:alignment horizontal="center" vertical="top"/>
    </x:xf>
    <x:xf numFmtId="164" fontId="30" fillId="0" borderId="44" xfId="0" applyNumberFormat="1" applyFont="1" applyFill="1" applyBorder="1" applyAlignment="1">
      <x:alignment horizontal="center" vertical="top"/>
    </x:xf>
    <x:xf numFmtId="0" fontId="30" fillId="3" borderId="46" xfId="0" applyNumberFormat="1" applyFont="1" applyFill="1" applyBorder="1" applyAlignment="1">
      <x:alignment horizontal="center" vertical="top"/>
    </x:xf>
    <x:xf numFmtId="164" fontId="30" fillId="4" borderId="46" xfId="0" applyNumberFormat="1" applyFont="1" applyFill="1" applyBorder="1" applyAlignment="1">
      <x:alignment horizontal="center" vertical="top"/>
    </x:xf>
    <x:xf numFmtId="164" fontId="30" fillId="4" borderId="46" xfId="0" applyNumberFormat="1" applyFont="1" applyFill="1" applyBorder="1" applyAlignment="1">
      <x:alignment horizontal="center"/>
    </x:xf>
    <x:xf numFmtId="164" fontId="30" fillId="0" borderId="46" xfId="0" applyNumberFormat="1" applyFont="1" applyFill="1" applyBorder="1" applyAlignment="1">
      <x:alignment horizontal="center" vertical="top"/>
    </x:xf>
    <x:xf numFmtId="164" fontId="30" fillId="0" borderId="47" xfId="0" applyNumberFormat="1" applyFont="1" applyFill="1" applyBorder="1" applyAlignment="1">
      <x:alignment horizontal="center" vertical="top"/>
    </x:xf>
    <x:xf numFmtId="164" fontId="30" fillId="0" borderId="1" xfId="0" applyNumberFormat="1" applyFont="1" applyFill="1" applyBorder="1" applyAlignment="1">
      <x:alignment horizontal="center" vertical="center"/>
    </x:xf>
    <x:xf numFmtId="164" fontId="30" fillId="0" borderId="3" xfId="0" applyNumberFormat="1" applyFont="1" applyFill="1" applyBorder="1" applyAlignment="1">
      <x:alignment horizontal="center" vertical="center"/>
    </x:xf>
    <x:xf numFmtId="167" fontId="30" fillId="0" borderId="1" xfId="0" applyNumberFormat="1" applyFont="1" applyFill="1" applyBorder="1" applyAlignment="1">
      <x:alignment horizontal="center" vertical="center"/>
    </x:xf>
    <x:xf numFmtId="164" fontId="30" fillId="0" borderId="38" xfId="0" applyNumberFormat="1" applyFont="1" applyFill="1" applyBorder="1" applyAlignment="1">
      <x:alignment horizontal="center" vertical="center"/>
    </x:xf>
    <x:xf numFmtId="167" fontId="30" fillId="11" borderId="1" xfId="0" applyNumberFormat="1" applyFont="1" applyFill="1" applyBorder="1" applyAlignment="1">
      <x:alignment horizontal="center" vertical="center"/>
    </x:xf>
    <x:xf numFmtId="164" fontId="30" fillId="4" borderId="1" xfId="0" applyNumberFormat="1" applyFont="1" applyFill="1" applyBorder="1" applyAlignment="1">
      <x:alignment horizontal="center" vertical="center"/>
    </x:xf>
    <x:xf numFmtId="164" fontId="30" fillId="4" xfId="0" applyNumberFormat="1" applyFont="1" applyFill="1" applyBorder="0" applyAlignment="1">
      <x:alignment horizontal="center" vertical="center"/>
    </x:xf>
    <x:xf numFmtId="164" fontId="30" fillId="0" borderId="5" xfId="0" applyNumberFormat="1" applyFont="1" applyFill="1" applyBorder="1" applyAlignment="1">
      <x:alignment horizontal="center" vertical="center"/>
    </x:xf>
    <x:xf numFmtId="164" fontId="30" fillId="0" borderId="44" xfId="0" applyNumberFormat="1" applyFont="1" applyFill="1" applyBorder="1" applyAlignment="1">
      <x:alignment horizontal="center" vertical="center"/>
    </x:xf>
    <x:xf numFmtId="164" fontId="30" fillId="11" borderId="1" xfId="0" applyNumberFormat="1" applyFont="1" applyFill="1" applyBorder="1" applyAlignment="1">
      <x:alignment horizontal="center" vertical="center"/>
    </x:xf>
    <x:xf numFmtId="0" fontId="30" fillId="3" borderId="46" xfId="0" applyNumberFormat="1" applyFont="1" applyFill="1" applyBorder="1" applyAlignment="1">
      <x:alignment horizontal="center" vertical="center"/>
    </x:xf>
    <x:xf numFmtId="164" fontId="30" fillId="4" borderId="46" xfId="0" applyNumberFormat="1" applyFont="1" applyFill="1" applyBorder="1" applyAlignment="1">
      <x:alignment horizontal="center" vertical="center"/>
    </x:xf>
    <x:xf numFmtId="164" fontId="30" fillId="0" borderId="46" xfId="0" applyNumberFormat="1" applyFont="1" applyFill="1" applyBorder="1" applyAlignment="1">
      <x:alignment horizontal="center" vertical="center"/>
    </x:xf>
    <x:xf numFmtId="164" fontId="30" fillId="0" borderId="47" xfId="0" applyNumberFormat="1" applyFont="1" applyFill="1" applyBorder="1" applyAlignment="1">
      <x:alignment horizontal="center" vertical="center"/>
    </x:xf>
    <x:xf numFmtId="0" fontId="30" fillId="25" borderId="46" xfId="0" applyNumberFormat="1" applyFont="1" applyFill="1" applyBorder="1" applyAlignment="1">
      <x:alignment horizontal="center" vertical="center"/>
    </x:xf>
    <x:xf numFmtId="0" fontId="36" fillId="25" borderId="46" xfId="0" applyNumberFormat="1" applyFont="1" applyFill="1" applyBorder="1" applyAlignment="1">
      <x:alignment horizontal="center" vertical="center"/>
    </x:xf>
    <x:xf numFmtId="203" fontId="30" fillId="0" borderId="1" xfId="0" applyNumberFormat="1" applyFont="1" applyFill="1" applyBorder="1" applyAlignment="1">
      <x:alignment horizontal="center" vertical="center"/>
    </x:xf>
    <x:xf numFmtId="203" fontId="30" fillId="0" borderId="3" xfId="0" applyNumberFormat="1" applyFont="1" applyFill="1" applyBorder="1" applyAlignment="1">
      <x:alignment horizontal="center" vertical="center"/>
    </x:xf>
    <x:xf numFmtId="203" fontId="30" fillId="0" borderId="38" xfId="0" applyNumberFormat="1" applyFont="1" applyFill="1" applyBorder="1" applyAlignment="1">
      <x:alignment horizontal="center" vertical="center"/>
    </x:xf>
    <x:xf numFmtId="203" fontId="30" fillId="11" borderId="1" xfId="0" applyNumberFormat="1" applyFont="1" applyFill="1" applyBorder="1" applyAlignment="1">
      <x:alignment horizontal="center" vertical="center"/>
    </x:xf>
    <x:xf numFmtId="203" fontId="30" fillId="4" borderId="1" xfId="0" applyNumberFormat="1" applyFont="1" applyFill="1" applyBorder="1" applyAlignment="1">
      <x:alignment horizontal="center" vertical="center"/>
    </x:xf>
    <x:xf numFmtId="203" fontId="30" fillId="4" xfId="0" applyNumberFormat="1" applyFont="1" applyFill="1" applyBorder="0" applyAlignment="1">
      <x:alignment horizontal="center" vertical="center"/>
    </x:xf>
    <x:xf numFmtId="203" fontId="30" fillId="0" borderId="5" xfId="0" applyNumberFormat="1" applyFont="1" applyFill="1" applyBorder="1" applyAlignment="1">
      <x:alignment horizontal="center" vertical="center"/>
    </x:xf>
    <x:xf numFmtId="203" fontId="30" fillId="0" borderId="44" xfId="0" applyNumberFormat="1" applyFont="1" applyFill="1" applyBorder="1" applyAlignment="1">
      <x:alignment horizontal="center" vertical="center"/>
    </x:xf>
    <x:xf numFmtId="203" fontId="30" fillId="4" borderId="46" xfId="0" applyNumberFormat="1" applyFont="1" applyFill="1" applyBorder="1" applyAlignment="1">
      <x:alignment horizontal="center" vertical="center"/>
    </x:xf>
    <x:xf numFmtId="203" fontId="30" fillId="0" borderId="46" xfId="0" applyNumberFormat="1" applyFont="1" applyFill="1" applyBorder="1" applyAlignment="1">
      <x:alignment horizontal="center" vertical="center"/>
    </x:xf>
    <x:xf numFmtId="203" fontId="30" fillId="0" borderId="4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 applyAlignment="1">
      <x:alignment vertical="top"/>
    </x:xf>
    <x:xf numFmtId="164" fontId="0" fillId="26" borderId="0" xfId="0" applyNumberFormat="1" applyFont="1" applyFill="1" applyBorder="1" applyAlignment="1">
      <x:alignment vertical="top"/>
    </x:xf>
    <x:xf numFmtId="0" fontId="19" fillId="26" borderId="0" xfId="0" applyNumberFormat="1" applyFont="1" applyFill="1" applyBorder="1" applyAlignment="1">
      <x:alignment vertical="top"/>
    </x:xf>
    <x:xf numFmtId="164" fontId="19" fillId="26" borderId="0" xfId="0" applyNumberFormat="1" applyFont="1" applyFill="1" applyBorder="1" applyAlignment="1">
      <x:alignment vertical="top"/>
    </x:xf>
    <x:xf numFmtId="0" fontId="19" fillId="26" borderId="36" xfId="0" applyNumberFormat="1" applyFont="1" applyFill="1" applyBorder="1" applyAlignment="1">
      <x:alignment vertical="top"/>
    </x:xf>
    <x:xf numFmtId="164" fontId="19" fillId="26" borderId="36" xfId="0" applyNumberFormat="1" applyFont="1" applyFill="1" applyBorder="1" applyAlignment="1">
      <x:alignment vertical="top"/>
    </x:xf>
    <x:xf numFmtId="203" fontId="19" fillId="26" borderId="36" xfId="0" applyNumberFormat="1" applyFont="1" applyFill="1" applyBorder="1" applyAlignment="1">
      <x:alignment vertical="top"/>
    </x:xf>
    <x:xf numFmtId="1" fontId="30" fillId="0" borderId="1" xfId="0" applyNumberFormat="1" applyFont="1" applyFill="1" applyBorder="1" applyAlignment="1">
      <x:alignment horizontal="center"/>
    </x:xf>
    <x:xf numFmtId="0" fontId="30" fillId="0" borderId="3" xfId="0" applyNumberFormat="1" applyFont="1" applyFill="1" applyBorder="1" applyAlignment="1">
      <x:alignment horizontal="center"/>
    </x:xf>
    <x:xf numFmtId="3" fontId="30" fillId="0" borderId="1" xfId="0" applyNumberFormat="1" applyFont="1" applyFill="1" applyBorder="1" applyAlignment="1">
      <x:alignment horizontal="center"/>
    </x:xf>
    <x:xf numFmtId="0" fontId="30" fillId="0" borderId="1" xfId="0" applyNumberFormat="1" applyFont="1" applyFill="1" applyBorder="1" applyAlignment="1">
      <x:alignment vertical="top"/>
    </x:xf>
    <x:xf numFmtId="0" fontId="30" fillId="11" borderId="1" xfId="0" applyNumberFormat="1" applyFont="1" applyFill="1" applyBorder="1" applyAlignment="1">
      <x:alignment horizontal="center" vertical="top"/>
    </x:xf>
    <x:xf numFmtId="1" fontId="30" fillId="0" borderId="3" xfId="0" applyNumberFormat="1" applyFont="1" applyFill="1" applyBorder="1" applyAlignment="1">
      <x:alignment horizontal="center"/>
    </x:xf>
    <x:xf numFmtId="0" fontId="30" fillId="4" borderId="4" xfId="0" applyNumberFormat="1" applyFont="1" applyFill="1" applyBorder="1" applyAlignment="1">
      <x:alignment horizontal="center" vertical="top"/>
    </x:xf>
    <x:xf numFmtId="0" fontId="30" fillId="4" borderId="0" xfId="0" applyNumberFormat="1" applyFont="1" applyFill="1" applyBorder="1" applyAlignment="1">
      <x:alignment horizontal="center" vertical="top"/>
    </x:xf>
    <x:xf numFmtId="1" fontId="30" fillId="0" borderId="5" xfId="0" applyNumberFormat="1" applyFont="1" applyFill="1" applyBorder="1" applyAlignment="1">
      <x:alignment horizontal="center"/>
    </x:xf>
    <x:xf numFmtId="0" fontId="30" fillId="0" borderId="5" xfId="0" applyNumberFormat="1" applyFont="1" applyFill="1" applyBorder="1" applyAlignment="1">
      <x:alignment horizontal="center" vertical="top"/>
    </x:xf>
    <x:xf numFmtId="0" fontId="30" fillId="0" borderId="5" xfId="0" applyNumberFormat="1" applyFont="1" applyFill="1" applyBorder="1" applyAlignment="1">
      <x:alignment vertical="top"/>
    </x:xf>
    <x:xf numFmtId="1" fontId="30" fillId="4" borderId="1" xfId="0" applyNumberFormat="1" applyFont="1" applyFill="1" applyBorder="1" applyAlignment="1">
      <x:alignment horizontal="center"/>
    </x:xf>
    <x:xf numFmtId="0" fontId="30" fillId="0" borderId="38" xfId="0" applyNumberFormat="1" applyFont="1" applyFill="1" applyBorder="1" applyAlignment="1">
      <x:alignment vertical="top"/>
    </x:xf>
    <x:xf numFmtId="0" fontId="30" fillId="4" xfId="0" applyNumberFormat="1" applyFont="1" applyFill="1" applyBorder="0" applyAlignment="1">
      <x:alignment horizontal="center" vertical="top"/>
    </x:xf>
    <x:xf numFmtId="0" fontId="30" fillId="0" borderId="44" xfId="0" applyNumberFormat="1" applyFont="1" applyFill="1" applyBorder="1" applyAlignment="1">
      <x:alignment vertical="top"/>
    </x:xf>
    <x:xf numFmtId="0" fontId="30" fillId="4" borderId="46" xfId="0" applyNumberFormat="1" applyFont="1" applyFill="1" applyBorder="1" applyAlignment="1">
      <x:alignment horizontal="center" vertical="top"/>
    </x:xf>
    <x:xf numFmtId="1" fontId="30" fillId="4" borderId="46" xfId="0" applyNumberFormat="1" applyFont="1" applyFill="1" applyBorder="1" applyAlignment="1">
      <x:alignment horizontal="center"/>
    </x:xf>
    <x:xf numFmtId="0" fontId="30" fillId="11" borderId="46" xfId="0" applyNumberFormat="1" applyFont="1" applyFill="1" applyBorder="1" applyAlignment="1">
      <x:alignment horizontal="center" vertical="top"/>
    </x:xf>
    <x:xf numFmtId="0" fontId="30" fillId="0" borderId="46" xfId="0" applyNumberFormat="1" applyFont="1" applyFill="1" applyBorder="1" applyAlignment="1">
      <x:alignment vertical="top"/>
    </x:xf>
    <x:xf numFmtId="0" fontId="30" fillId="0" borderId="47" xfId="0" applyNumberFormat="1" applyFont="1" applyFill="1" applyBorder="1" applyAlignment="1">
      <x:alignment vertical="top"/>
    </x:xf>
    <x:xf numFmtId="0" fontId="30" fillId="0" borderId="44" xfId="0" applyNumberFormat="1" applyFont="1" applyFill="1" applyBorder="1" applyAlignment="1">
      <x:alignment horizontal="center" vertical="top"/>
    </x:xf>
    <x:xf numFmtId="0" fontId="30" fillId="0" borderId="46" xfId="0" applyNumberFormat="1" applyFont="1" applyFill="1" applyBorder="1" applyAlignment="1">
      <x:alignment horizontal="center" vertical="top"/>
    </x:xf>
    <x:xf numFmtId="0" fontId="30" fillId="0" borderId="47" xfId="0" applyNumberFormat="1" applyFont="1" applyFill="1" applyBorder="1" applyAlignment="1">
      <x:alignment horizontal="center" vertical="top"/>
    </x:xf>
    <x:xf numFmtId="1" fontId="30" fillId="0" borderId="1" xfId="0" applyNumberFormat="1" applyFont="1" applyFill="1" applyBorder="1" applyAlignment="1">
      <x:alignment horizontal="center" vertical="center"/>
    </x:xf>
    <x:xf numFmtId="0" fontId="30" fillId="0" borderId="3" xfId="0" applyNumberFormat="1" applyFont="1" applyFill="1" applyBorder="1" applyAlignment="1">
      <x:alignment horizontal="center" vertical="center"/>
    </x:xf>
    <x:xf numFmtId="0" fontId="30" fillId="11" borderId="1" xfId="0" applyNumberFormat="1" applyFont="1" applyFill="1" applyBorder="1" applyAlignment="1">
      <x:alignment horizontal="center" vertical="center"/>
    </x:xf>
    <x:xf numFmtId="1" fontId="30" fillId="0" borderId="3" xfId="0" applyNumberFormat="1" applyFont="1" applyFill="1" applyBorder="1" applyAlignment="1">
      <x:alignment horizontal="center" vertical="center"/>
    </x:xf>
    <x:xf numFmtId="0" fontId="30" fillId="4" borderId="4" xfId="0" applyNumberFormat="1" applyFont="1" applyFill="1" applyBorder="1" applyAlignment="1">
      <x:alignment horizontal="center" vertical="center"/>
    </x:xf>
    <x:xf numFmtId="0" fontId="30" fillId="4" xfId="0" applyNumberFormat="1" applyFont="1" applyFill="1" applyBorder="0" applyAlignment="1">
      <x:alignment horizontal="center" vertical="center"/>
    </x:xf>
    <x:xf numFmtId="1" fontId="30" fillId="0" borderId="5" xfId="0" applyNumberFormat="1" applyFont="1" applyFill="1" applyBorder="1" applyAlignment="1">
      <x:alignment horizontal="center" vertical="center"/>
    </x:xf>
    <x:xf numFmtId="0" fontId="30" fillId="0" borderId="5" xfId="0" applyNumberFormat="1" applyFont="1" applyFill="1" applyBorder="1" applyAlignment="1">
      <x:alignment horizontal="center" vertical="center"/>
    </x:xf>
    <x:xf numFmtId="0" fontId="30" fillId="0" borderId="44" xfId="0" applyNumberFormat="1" applyFont="1" applyFill="1" applyBorder="1" applyAlignment="1">
      <x:alignment horizontal="center" vertical="center"/>
    </x:xf>
    <x:xf numFmtId="1" fontId="30" fillId="4" borderId="1" xfId="0" applyNumberFormat="1" applyFont="1" applyFill="1" applyBorder="1" applyAlignment="1">
      <x:alignment horizontal="center" vertical="center"/>
    </x:xf>
    <x:xf numFmtId="0" fontId="30" fillId="4" borderId="46" xfId="0" applyNumberFormat="1" applyFont="1" applyFill="1" applyBorder="1" applyAlignment="1">
      <x:alignment horizontal="center" vertical="center"/>
    </x:xf>
    <x:xf numFmtId="1" fontId="30" fillId="4" borderId="46" xfId="0" applyNumberFormat="1" applyFont="1" applyFill="1" applyBorder="1" applyAlignment="1">
      <x:alignment horizontal="center" vertical="center"/>
    </x:xf>
    <x:xf numFmtId="0" fontId="30" fillId="11" borderId="46" xfId="0" applyNumberFormat="1" applyFont="1" applyFill="1" applyBorder="1" applyAlignment="1">
      <x:alignment horizontal="center" vertical="center"/>
    </x:xf>
    <x:xf numFmtId="0" fontId="30" fillId="0" borderId="46" xfId="0" applyNumberFormat="1" applyFont="1" applyFill="1" applyBorder="1" applyAlignment="1">
      <x:alignment horizontal="center" vertical="center"/>
    </x:xf>
    <x:xf numFmtId="0" fontId="30" fillId="0" borderId="47" xfId="0" applyNumberFormat="1" applyFont="1" applyFill="1" applyBorder="1" applyAlignment="1">
      <x:alignment horizontal="center" vertical="center"/>
    </x:xf>
    <x:xf numFmtId="201" fontId="30" fillId="0" borderId="3" xfId="0" applyNumberFormat="1" applyFont="1" applyFill="1" applyBorder="1" applyAlignment="1">
      <x:alignment horizontal="center" vertical="center"/>
    </x:xf>
    <x:xf numFmtId="201" fontId="30" fillId="11" borderId="1" xfId="0" applyNumberFormat="1" applyFont="1" applyFill="1" applyBorder="1" applyAlignment="1">
      <x:alignment horizontal="center" vertical="center"/>
    </x:xf>
    <x:xf numFmtId="201" fontId="30" fillId="4" borderId="4" xfId="0" applyNumberFormat="1" applyFont="1" applyFill="1" applyBorder="1" applyAlignment="1">
      <x:alignment horizontal="center" vertical="center"/>
    </x:xf>
    <x:xf numFmtId="201" fontId="30" fillId="4" xfId="0" applyNumberFormat="1" applyFont="1" applyFill="1" applyBorder="0" applyAlignment="1">
      <x:alignment horizontal="center" vertical="center"/>
    </x:xf>
    <x:xf numFmtId="201" fontId="30" fillId="4" borderId="46" xfId="0" applyNumberFormat="1" applyFont="1" applyFill="1" applyBorder="1" applyAlignment="1">
      <x:alignment horizontal="center" vertical="center"/>
    </x:xf>
    <x:xf numFmtId="201" fontId="30" fillId="11" borderId="46" xfId="0" applyNumberFormat="1" applyFont="1" applyFill="1" applyBorder="1" applyAlignment="1">
      <x:alignment horizontal="center" vertical="center"/>
    </x:xf>
    <x:xf numFmtId="201" fontId="30" fillId="0" borderId="46" xfId="0" applyNumberFormat="1" applyFont="1" applyFill="1" applyBorder="1" applyAlignment="1">
      <x:alignment horizontal="center" vertical="center"/>
    </x:xf>
    <x:xf numFmtId="201" fontId="30" fillId="0" borderId="47" xfId="0" applyNumberFormat="1" applyFont="1" applyFill="1" applyBorder="1" applyAlignment="1">
      <x:alignment horizontal="center" vertical="center"/>
    </x:xf>
    <x:xf numFmtId="201" fontId="19" fillId="26" borderId="36" xfId="0" applyNumberFormat="1" applyFont="1" applyFill="1" applyBorder="1" applyAlignment="1">
      <x:alignment vertical="top"/>
    </x:xf>
    <x:xf numFmtId="0" fontId="35" fillId="0" borderId="0" xfId="0" applyNumberFormat="1" applyFont="1" applyFill="1" applyBorder="1" applyAlignment="1">
      <x:alignment vertical="top"/>
    </x:xf>
    <x:xf numFmtId="1" fontId="35" fillId="0" borderId="0" xfId="0" applyNumberFormat="1" applyFont="1" applyFill="1" applyBorder="1" applyAlignment="1">
      <x:alignment vertical="top"/>
    </x:xf>
    <x:xf numFmtId="0" fontId="35" fillId="0" xfId="0" applyNumberFormat="1" applyFont="1" applyFill="1" applyBorder="0" applyAlignment="1">
      <x:alignment vertical="top"/>
    </x:xf>
    <x:xf numFmtId="1" fontId="35" fillId="0" xfId="0" applyNumberFormat="1" applyFont="1" applyFill="1" applyBorder="0" applyAlignment="1">
      <x:alignment vertical="top"/>
    </x:xf>
    <x:xf numFmtId="0" fontId="35" fillId="0" borderId="34" xfId="0" applyNumberFormat="1" applyFont="1" applyFill="1" applyBorder="1" applyAlignment="1">
      <x:alignment vertical="top"/>
    </x:xf>
    <x:xf numFmtId="0" fontId="35" fillId="0" xfId="0" applyNumberFormat="1" applyFont="1" applyFill="1" applyBorder="0" applyAlignment="1">
      <x:alignment horizontal="center" vertical="top"/>
    </x:xf>
    <x:xf numFmtId="1" fontId="35" fillId="0" xfId="0" applyNumberFormat="1" applyFont="1" applyFill="1" applyBorder="0" applyAlignment="1">
      <x:alignment horizontal="center" vertical="top"/>
    </x:xf>
    <x:xf numFmtId="0" fontId="35" fillId="0" borderId="34" xfId="0" applyNumberFormat="1" applyFont="1" applyFill="1" applyBorder="1" applyAlignment="1">
      <x:alignment horizontal="center" vertical="top"/>
    </x:xf>
    <x:xf numFmtId="0" fontId="35" fillId="0" xfId="0" applyNumberFormat="1" applyFont="1" applyFill="1" applyBorder="0" applyAlignment="1">
      <x:alignment horizontal="center" vertical="center"/>
    </x:xf>
    <x:xf numFmtId="1" fontId="35" fillId="0" xfId="0" applyNumberFormat="1" applyFont="1" applyFill="1" applyBorder="0" applyAlignment="1">
      <x:alignment horizontal="center" vertical="center"/>
    </x:xf>
    <x:xf numFmtId="0" fontId="35" fillId="0" borderId="34" xfId="0" applyNumberFormat="1" applyFont="1" applyFill="1" applyBorder="1" applyAlignment="1">
      <x:alignment horizontal="center" vertical="center"/>
    </x:xf>
    <x:xf numFmtId="0" fontId="35" fillId="25" xfId="0" applyNumberFormat="1" applyFont="1" applyFill="1" applyBorder="0" applyAlignment="1">
      <x:alignment horizontal="center" vertical="center"/>
    </x:xf>
    <x:xf numFmtId="0" fontId="35" fillId="25" borderId="34" xfId="0" applyNumberFormat="1" applyFont="1" applyFill="1" applyBorder="1" applyAlignment="1">
      <x:alignment horizontal="center" vertical="center"/>
    </x:xf>
    <x:xf numFmtId="0" fontId="37" fillId="25" xfId="0" applyNumberFormat="1" applyFont="1" applyFill="1" applyBorder="0" applyAlignment="1">
      <x:alignment horizontal="center" vertical="center"/>
    </x:xf>
    <x:xf numFmtId="0" fontId="37" fillId="25" borderId="34" xfId="0" applyNumberFormat="1" applyFont="1" applyFill="1" applyBorder="1" applyAlignment="1">
      <x:alignment horizontal="center" vertical="center"/>
    </x:xf>
    <x:xf numFmtId="0" fontId="19" fillId="26" borderId="30" xfId="0" applyNumberFormat="1" applyFont="1" applyFill="1" applyBorder="1" applyAlignment="1">
      <x:alignment vertical="top"/>
    </x:xf>
    <x:xf numFmtId="0" fontId="0" fillId="24" borderId="0" xfId="0" applyNumberFormat="1" applyFont="1" applyFill="1" applyBorder="1" applyAlignment="1">
      <x:alignment vertical="top"/>
    </x:xf>
    <x:xf numFmtId="0" fontId="31" fillId="24" borderId="0" xfId="0" applyNumberFormat="1" applyFont="1" applyFill="1" applyBorder="1" applyAlignment="1">
      <x:alignment vertical="top"/>
    </x:xf>
    <x:xf numFmtId="0" fontId="31" fillId="24" borderId="0" xfId="0" applyNumberFormat="1" applyFont="1" applyFill="1" applyBorder="1" applyAlignment="1">
      <x:alignment horizontal="center" vertical="top"/>
    </x:xf>
    <x:xf numFmtId="0" fontId="31" fillId="24" borderId="0" xfId="0" applyNumberFormat="1" applyFont="1" applyFill="1" applyBorder="1" applyAlignment="1">
      <x:alignment horizontal="center" vertical="center"/>
    </x:xf>
    <x:xf numFmtId="200" fontId="31" fillId="24" borderId="0" xfId="0" applyNumberFormat="1" applyFont="1" applyFill="1" applyBorder="1" applyAlignment="1">
      <x:alignment horizontal="center" vertical="center"/>
    </x:xf>
    <x:xf numFmtId="0" fontId="30" fillId="25" xfId="0" applyNumberFormat="1" applyFont="1" applyFill="1" applyBorder="0" applyAlignment="1">
      <x:alignment horizontal="center" vertical="center"/>
    </x:xf>
    <x:xf numFmtId="0" fontId="30" fillId="25" borderId="34" xfId="0" applyNumberFormat="1" applyFont="1" applyFill="1" applyBorder="1" applyAlignment="1">
      <x:alignment horizontal="center" vertical="center"/>
    </x:xf>
    <x:xf numFmtId="0" fontId="36" fillId="25" xfId="0" applyNumberFormat="1" applyFont="1" applyFill="1" applyBorder="0" applyAlignment="1">
      <x:alignment horizontal="center" vertical="center"/>
    </x:xf>
    <x:xf numFmtId="0" fontId="36" fillId="25" borderId="34" xfId="0" applyNumberFormat="1" applyFont="1" applyFill="1" applyBorder="1" applyAlignment="1">
      <x:alignment horizontal="center" vertical="center"/>
    </x:xf>
    <x:xf numFmtId="203" fontId="30" fillId="0" xfId="0" applyNumberFormat="1" applyFont="1" applyFill="1" applyBorder="0" applyAlignment="1">
      <x:alignment horizontal="center" vertical="center"/>
    </x:xf>
    <x:xf numFmtId="203" fontId="30" fillId="0" borderId="39" xfId="0" applyNumberFormat="1" applyFont="1" applyFill="1" applyBorder="1" applyAlignment="1">
      <x:alignment horizontal="center" vertical="center"/>
    </x:xf>
    <x:xf numFmtId="203" fontId="30" fillId="0" borderId="34" xfId="0" applyNumberFormat="1" applyFont="1" applyFill="1" applyBorder="1" applyAlignment="1">
      <x:alignment horizontal="center" vertical="center"/>
    </x:xf>
    <x:xf numFmtId="203" fontId="30" fillId="0" borderId="40" xfId="0" applyNumberFormat="1" applyFont="1" applyFill="1" applyBorder="1" applyAlignment="1">
      <x:alignment horizontal="center" vertical="center"/>
    </x:xf>
    <x:xf numFmtId="0" fontId="6" fillId="12" borderId="1" xfId="0" applyNumberFormat="1" applyFont="1" applyFill="1" applyBorder="1" applyAlignment="1">
      <x:alignment horizontal="center" vertical="top"/>
    </x:xf>
    <x:xf numFmtId="17" fontId="6" fillId="12" borderId="1" xfId="0" applyNumberFormat="1" applyFont="1" applyFill="1" applyBorder="1" applyAlignment="1">
      <x:alignment horizontal="center" vertical="top"/>
    </x:xf>
    <x:xf numFmtId="0" fontId="33" fillId="12" borderId="1" xfId="0" applyNumberFormat="1" applyFont="1" applyFill="1" applyBorder="1" applyAlignment="1">
      <x:alignment horizontal="center" vertical="top"/>
    </x:xf>
    <x:xf numFmtId="17" fontId="33" fillId="12" borderId="1" xfId="0" applyNumberFormat="1" applyFont="1" applyFill="1" applyBorder="1" applyAlignment="1">
      <x:alignment horizontal="center" vertical="top"/>
    </x:xf>
    <x:xf numFmtId="0" fontId="33" fillId="12" borderId="37" xfId="0" applyNumberFormat="1" applyFont="1" applyFill="1" applyBorder="1" applyAlignment="1">
      <x:alignment horizontal="center" vertical="top"/>
    </x:xf>
    <x:xf numFmtId="17" fontId="33" fillId="12" borderId="37" xfId="0" applyNumberFormat="1" applyFont="1" applyFill="1" applyBorder="1" applyAlignment="1">
      <x:alignment horizontal="center" vertical="top"/>
    </x:xf>
    <x:xf numFmtId="0" fontId="33" fillId="12" borderId="37" xfId="0" applyNumberFormat="1" applyFont="1" applyFill="1" applyBorder="1" applyAlignment="1">
      <x:alignment horizontal="center" vertical="center"/>
    </x:xf>
    <x:xf numFmtId="17" fontId="33" fillId="12" borderId="37" xfId="0" applyNumberFormat="1" applyFont="1" applyFill="1" applyBorder="1" applyAlignment="1">
      <x:alignment horizontal="center" vertical="center"/>
    </x:xf>
    <x:xf numFmtId="200" fontId="33" fillId="12" borderId="37" xfId="0" applyNumberFormat="1" applyFont="1" applyFill="1" applyBorder="1" applyAlignment="1">
      <x:alignment horizontal="center" vertical="center"/>
    </x:xf>
    <x:xf numFmtId="164" fontId="0" fillId="14" borderId="0" xfId="0" applyNumberFormat="1" applyFont="1" applyFill="1" applyBorder="1" applyAlignment="1">
      <x:alignment vertical="top"/>
    </x:xf>
    <x:xf numFmtId="164" fontId="19" fillId="14" borderId="0" xfId="0" applyNumberFormat="1" applyFont="1" applyFill="1" applyBorder="1" applyAlignment="1">
      <x:alignment vertical="top"/>
    </x:xf>
    <x:xf numFmtId="0" fontId="19" fillId="14" borderId="36" xfId="0" applyNumberFormat="1" applyFont="1" applyFill="1" applyBorder="1" applyAlignment="1">
      <x:alignment vertical="top"/>
    </x:xf>
    <x:xf numFmtId="164" fontId="19" fillId="14" borderId="36" xfId="0" applyNumberFormat="1" applyFont="1" applyFill="1" applyBorder="1" applyAlignment="1">
      <x:alignment vertical="top"/>
    </x:xf>
    <x:xf numFmtId="203" fontId="19" fillId="14" borderId="36" xfId="0" applyNumberFormat="1" applyFont="1" applyFill="1" applyBorder="1" applyAlignment="1">
      <x:alignment vertical="top"/>
    </x:xf>
    <x:xf numFmtId="201" fontId="19" fillId="14" borderId="36" xfId="0" applyNumberFormat="1" applyFont="1" applyFill="1" applyBorder="1" applyAlignment="1">
      <x:alignment vertical="top"/>
    </x:xf>
    <x:xf numFmtId="0" fontId="19" fillId="14" borderId="30" xfId="0" applyNumberFormat="1" applyFont="1" applyFill="1" applyBorder="1" applyAlignment="1">
      <x:alignment vertical="top"/>
    </x:xf>
    <x:xf numFmtId="0" fontId="31" fillId="12" borderId="0" xfId="0" applyNumberFormat="1" applyFont="1" applyFill="1" applyBorder="1" applyAlignment="1">
      <x:alignment vertical="top"/>
    </x:xf>
    <x:xf numFmtId="0" fontId="31" fillId="12" borderId="0" xfId="0" applyNumberFormat="1" applyFont="1" applyFill="1" applyBorder="1" applyAlignment="1">
      <x:alignment horizontal="center" vertical="top"/>
    </x:xf>
    <x:xf numFmtId="0" fontId="31" fillId="12" borderId="0" xfId="0" applyNumberFormat="1" applyFont="1" applyFill="1" applyBorder="1" applyAlignment="1">
      <x:alignment horizontal="center" vertical="center"/>
    </x:xf>
    <x:xf numFmtId="200" fontId="31" fillId="12" borderId="0" xfId="0" applyNumberFormat="1" applyFont="1" applyFill="1" applyBorder="1" applyAlignment="1">
      <x:alignment horizontal="center" vertical="center"/>
    </x:xf>
    <x:xf numFmtId="205" fontId="26" fillId="17" borderId="3" xfId="0" applyNumberFormat="1" applyFont="1" applyFill="1" applyBorder="1" applyAlignment="1">
      <x:alignment horizontal="center" vertical="center"/>
    </x:xf>
    <x:xf numFmtId="206" fontId="26" fillId="17" borderId="2" xfId="0" applyNumberFormat="1" applyFont="1" applyFill="1" applyBorder="1" applyAlignment="1">
      <x:alignment horizontal="center" vertical="center"/>
    </x:xf>
    <x:xf numFmtId="206" fontId="27" fillId="13" borderId="0" xfId="0" applyNumberFormat="1" applyFont="1" applyFill="1" applyBorder="1" applyAlignment="1">
      <x:alignment horizontal="center" vertical="center"/>
    </x:xf>
    <x:xf numFmtId="0" fontId="29" fillId="27" borderId="1" xfId="0" applyNumberFormat="1" applyFont="1" applyFill="1" applyBorder="1" applyAlignment="1">
      <x:alignment horizontal="left" vertical="center"/>
    </x:xf>
    <x:xf numFmtId="0" fontId="29" fillId="27" borderId="1" xfId="0" applyNumberFormat="1" applyFont="1" applyFill="1" applyBorder="1" applyAlignment="1">
      <x:alignment horizontal="center" vertical="center"/>
    </x:xf>
    <x:xf numFmtId="201" fontId="30" fillId="27" borderId="1" xfId="0" applyNumberFormat="1" applyFont="1" applyFill="1" applyBorder="1" applyAlignment="1">
      <x:alignment horizontal="center" vertical="center"/>
    </x:xf>
    <x:xf numFmtId="203" fontId="30" fillId="27" borderId="1" xfId="0" applyNumberFormat="1" applyFont="1" applyFill="1" applyBorder="1" applyAlignment="1">
      <x:alignment horizontal="center" vertical="center"/>
    </x:xf>
    <x:xf numFmtId="9" fontId="30" fillId="27" borderId="31" xfId="0" applyNumberFormat="1" applyFont="1" applyFill="1" applyBorder="1" applyAlignment="1">
      <x:alignment horizontal="center" vertical="center"/>
    </x:xf>
    <x:xf numFmtId="0" fontId="29" fillId="27" borderId="5" xfId="0" applyNumberFormat="1" applyFont="1" applyFill="1" applyBorder="1" applyAlignment="1">
      <x:alignment horizontal="left" vertical="center"/>
    </x:xf>
    <x:xf numFmtId="0" fontId="30" fillId="27" borderId="2" xfId="0" applyNumberFormat="1" applyFont="1" applyFill="1" applyBorder="1" applyAlignment="1">
      <x:alignment horizontal="left" vertical="center"/>
    </x:xf>
    <x:xf numFmtId="0" fontId="30" fillId="27" xfId="0" applyNumberFormat="1" applyFont="1" applyFill="1" applyBorder="0" applyAlignment="1">
      <x:alignment horizontal="center" vertical="center"/>
    </x:xf>
    <x:xf numFmtId="201" fontId="30" fillId="27" xfId="0" applyNumberFormat="1" applyFont="1" applyFill="1" applyBorder="0" applyAlignment="1">
      <x:alignment horizontal="center" vertical="center"/>
    </x:xf>
    <x:xf numFmtId="203" fontId="30" fillId="27" xfId="0" applyNumberFormat="1" applyFont="1" applyFill="1" applyBorder="0" applyAlignment="1">
      <x:alignment horizontal="center" vertical="center"/>
    </x:xf>
    <x:xf numFmtId="0" fontId="30" fillId="27" borderId="32" xfId="0" applyNumberFormat="1" applyFont="1" applyFill="1" applyBorder="1" applyAlignment="1">
      <x:alignment horizontal="center" vertical="center"/>
    </x:xf>
    <x:xf numFmtId="0" fontId="30" fillId="27" borderId="33" xfId="0" applyNumberFormat="1" applyFont="1" applyFill="1" applyBorder="1" applyAlignment="1">
      <x:alignment horizontal="left" vertical="center"/>
    </x:xf>
    <x:xf numFmtId="0" fontId="30" fillId="27" borderId="34" xfId="0" applyNumberFormat="1" applyFont="1" applyFill="1" applyBorder="1" applyAlignment="1">
      <x:alignment horizontal="center" vertical="center"/>
    </x:xf>
    <x:xf numFmtId="201" fontId="30" fillId="27" borderId="34" xfId="0" applyNumberFormat="1" applyFont="1" applyFill="1" applyBorder="1" applyAlignment="1">
      <x:alignment horizontal="center" vertical="center"/>
    </x:xf>
    <x:xf numFmtId="203" fontId="30" fillId="27" borderId="34" xfId="0" applyNumberFormat="1" applyFont="1" applyFill="1" applyBorder="1" applyAlignment="1">
      <x:alignment horizontal="center" vertical="center"/>
    </x:xf>
    <x:xf numFmtId="0" fontId="30" fillId="27" borderId="35" xfId="0" applyNumberFormat="1" applyFont="1" applyFill="1" applyBorder="1" applyAlignment="1">
      <x:alignment horizontal="center" vertical="center"/>
    </x:xf>
    <x:xf numFmtId="0" fontId="29" fillId="28" borderId="1" xfId="0" applyNumberFormat="1" applyFont="1" applyFill="1" applyBorder="1" applyAlignment="1">
      <x:alignment horizontal="center" vertical="center"/>
    </x:xf>
    <x:xf numFmtId="0" fontId="30" fillId="28" xfId="0" applyNumberFormat="1" applyFont="1" applyFill="1" applyBorder="0" applyAlignment="1">
      <x:alignment horizontal="center" vertical="center"/>
    </x:xf>
    <x:xf numFmtId="0" fontId="30" fillId="28" borderId="34" xfId="0" applyNumberFormat="1" applyFont="1" applyFill="1" applyBorder="1" applyAlignment="1">
      <x:alignment horizontal="center" vertical="center"/>
    </x:xf>
    <x:xf numFmtId="201" fontId="30" fillId="28" borderId="1" xfId="0" applyNumberFormat="1" applyFont="1" applyFill="1" applyBorder="1" applyAlignment="1">
      <x:alignment horizontal="center" vertical="center"/>
    </x:xf>
    <x:xf numFmtId="201" fontId="30" fillId="28" xfId="0" applyNumberFormat="1" applyFont="1" applyFill="1" applyBorder="0" applyAlignment="1">
      <x:alignment horizontal="center" vertical="center"/>
    </x:xf>
    <x:xf numFmtId="201" fontId="30" fillId="28" borderId="34" xfId="0" applyNumberFormat="1" applyFont="1" applyFill="1" applyBorder="1" applyAlignment="1">
      <x:alignment horizontal="center" vertical="center"/>
    </x:xf>
    <x:xf numFmtId="201" fontId="30" fillId="29" borderId="1" xfId="0" applyNumberFormat="1" applyFont="1" applyFill="1" applyBorder="1" applyAlignment="1">
      <x:alignment horizontal="center" vertical="center"/>
    </x:xf>
    <x:xf numFmtId="201" fontId="30" fillId="29" xfId="0" applyNumberFormat="1" applyFont="1" applyFill="1" applyBorder="0" applyAlignment="1">
      <x:alignment horizontal="center" vertical="center"/>
    </x:xf>
    <x:xf numFmtId="201" fontId="30" fillId="29" borderId="34" xfId="0" applyNumberFormat="1" applyFont="1" applyFill="1" applyBorder="1" applyAlignment="1">
      <x:alignment horizontal="center" vertical="center"/>
    </x:xf>
    <x:xf numFmtId="207" fontId="30" fillId="29" borderId="1" xfId="0" applyNumberFormat="1" applyFont="1" applyFill="1" applyBorder="1" applyAlignment="1">
      <x:alignment horizontal="center" vertical="center"/>
    </x:xf>
    <x:xf numFmtId="207" fontId="30" fillId="29" xfId="0" applyNumberFormat="1" applyFont="1" applyFill="1" applyBorder="0" applyAlignment="1">
      <x:alignment horizontal="center" vertical="center"/>
    </x:xf>
    <x:xf numFmtId="207" fontId="30" fillId="29" borderId="34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0">
    <x:dxf>
      <x:font>
        <x:b/>
        <x:color theme="0"/>
      </x:font>
    </x:dxf>
    <x:dxf>
      <x:font>
        <x:b/>
        <x:color theme="0"/>
      </x:font>
    </x:dxf>
    <x:dxf>
      <x:font>
        <x:b/>
        <x:color rgb="FFC00000"/>
      </x:font>
    </x:dxf>
    <x:dxf>
      <x:font>
        <x:b/>
        <x:color theme="0"/>
      </x:font>
    </x:dxf>
    <x:dxf>
      <x:font>
        <x:b/>
        <x:color theme="1"/>
      </x:font>
    </x:dxf>
    <x:dxf>
      <x:font>
        <x:b/>
        <x:color theme="0"/>
      </x:font>
    </x:dxf>
    <x:dxf>
      <x:font>
        <x:b/>
        <x:color theme="0"/>
      </x:font>
    </x:dxf>
    <x:dxf>
      <x:font>
        <x:b/>
        <x:color rgb="FFC00000"/>
      </x:font>
    </x:dxf>
    <x:dxf>
      <x:font>
        <x:b/>
        <x:color theme="0"/>
      </x:font>
    </x:dxf>
    <x:dxf>
      <x:font>
        <x:b/>
        <x:color theme="0"/>
      </x:font>
    </x:dxf>
    <x:dxf>
      <x:font>
        <x:b/>
      </x:font>
    </x:dxf>
    <x:dxf>
      <x:font>
        <x:b/>
        <x:color theme="0"/>
      </x:font>
    </x:dxf>
    <x:dxf>
      <x:font>
        <x:b/>
        <x:color theme="1"/>
      </x:font>
    </x:dxf>
    <x:dxf>
      <x:font>
        <x:b/>
        <x:color theme="0"/>
      </x:font>
    </x:dxf>
    <x:dxf>
      <x:font>
        <x:b/>
        <x:sz val="11"/>
        <x:color theme="1"/>
      </x:font>
    </x:dxf>
    <x:dxf>
      <x:font>
        <x:b/>
        <x:color theme="0"/>
      </x:font>
      <x:fill>
        <x:patternFill>
          <x:bgColor auto="1"/>
        </x:patternFill>
      </x:fill>
      <x:border>
        <x:left style="thin">
          <x:color theme="1" tint="-0.49998"/>
        </x:left>
        <x:right style="thin">
          <x:color theme="1" tint="-0.49998"/>
        </x:right>
        <x:top style="thin">
          <x:color theme="1" tint="-0.49998"/>
        </x:top>
        <x:bottom style="thin">
          <x:color theme="1" tint="-0.49998"/>
        </x:bottom>
      </x:border>
    </x:dxf>
    <x:dxf>
      <x:font>
        <x:b/>
        <x:sz val="11"/>
        <x:color theme="1"/>
      </x:font>
    </x:dxf>
    <x:dxf>
      <x:fill>
        <x:patternFill>
          <x:bgColor auto="1"/>
        </x:patternFill>
      </x:fill>
      <x:border>
        <x:left style="thin">
          <x:color theme="1" tint="-0.49998"/>
        </x:left>
        <x:right style="thin">
          <x:color theme="1" tint="-0.49998"/>
        </x:right>
        <x:top style="thin">
          <x:color theme="1" tint="-0.49998"/>
        </x:top>
        <x:bottom style="thin">
          <x:color theme="1" tint="-0.49998"/>
        </x:bottom>
      </x:border>
    </x:dxf>
    <x:dxf>
      <x:fill>
        <x:patternFill>
          <x:bgColor rgb="FFE8F5EE"/>
        </x:patternFill>
      </x:fill>
    </x:dxf>
    <x:dxf>
      <x:font>
        <x:color rgb="FF667085"/>
      </x:font>
    </x:dxf>
    <x:dxf>
      <x:fill>
        <x:patternFill>
          <x:bgColor rgb="FFF1F4F8"/>
        </x:patternFill>
      </x:fill>
    </x:dxf>
    <x:dxf>
      <x:font>
        <x:b/>
        <x:color rgb="FF16794B"/>
      </x:font>
      <x:fill>
        <x:patternFill>
          <x:bgColor rgb="FFE7F4ED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B42318"/>
      </x:font>
    </x:dxf>
    <x:dxf>
      <x:font>
        <x:b/>
        <x:color rgb="FF9A6700"/>
      </x:font>
      <x:fill>
        <x:patternFill>
          <x:bgColor rgb="FFFFF4D6"/>
        </x:patternFill>
      </x:fill>
    </x:dxf>
    <x:dxf>
      <x:fill>
        <x:patternFill>
          <x:bgColor rgb="FFF1F4F8"/>
        </x:patternFill>
      </x:fill>
    </x:dxf>
    <x:dxf>
      <x:fill>
        <x:patternFill>
          <x:bgColor rgb="FFF1F4F8"/>
        </x:patternFill>
      </x:fill>
    </x:dxf>
    <x:dxf>
      <x:font>
        <x:color rgb="FFB7C0CC"/>
      </x:font>
    </x:dxf>
    <x:dxf>
      <x:fill>
        <x:patternFill>
          <x:bgColor rgb="FFF1F4F8"/>
        </x:patternFill>
      </x:fill>
    </x:dxf>
    <x:dxf>
      <x:font>
        <x:color rgb="FFB7C0CC"/>
      </x:font>
    </x:dxf>
    <x:dxf>
      <x:fill>
        <x:patternFill>
          <x:bgColor rgb="FFF1F4F8"/>
        </x:patternFill>
      </x:fill>
    </x:dxf>
    <x:dxf>
      <x:font>
        <x:color rgb="FFB7C0CC"/>
      </x:font>
    </x:dxf>
    <x:dxf>
      <x:fill>
        <x:patternFill>
          <x:bgColor rgb="FFF1F4F8"/>
        </x:patternFill>
      </x:fill>
    </x:dxf>
    <x:dxf>
      <x:fill>
        <x:patternFill>
          <x:bgColor rgb="FFF1F4F8"/>
        </x:patternFill>
      </x:fill>
    </x:dxf>
    <x:dxf>
      <x:fill>
        <x:patternFill>
          <x:bgColor rgb="FFF1F4F8"/>
        </x:patternFill>
      </x:fill>
    </x:dxf>
    <x:dxf>
      <x:fill>
        <x:patternFill>
          <x:bgColor rgb="FFF1F4F8"/>
        </x:patternFill>
      </x:fill>
    </x:dxf>
    <x:dxf>
      <x:fill>
        <x:patternFill>
          <x:bgColor rgb="FFEDF8F2"/>
        </x:patternFill>
      </x:fill>
    </x:dxf>
    <x:dxf>
      <x:font>
        <x:b/>
        <x:color rgb="FF16794B"/>
      </x:font>
    </x:dxf>
    <x:dxf>
      <x:font>
        <x:color rgb="FF667085"/>
      </x:font>
    </x:dxf>
    <x:dxf>
      <x:fill>
        <x:patternFill>
          <x:bgColor rgb="FFF1F4F8"/>
        </x:patternFill>
      </x:fill>
    </x:dxf>
    <x:dxf>
      <x:font>
        <x:b/>
        <x:color rgb="FF16794B"/>
      </x:font>
      <x:fill>
        <x:patternFill>
          <x:bgColor rgb="FFE7F4ED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4D6"/>
        </x:patternFill>
      </x:fill>
    </x:dxf>
    <x:dxf>
      <x:font>
        <x:b/>
        <x:color rgb="FFB42318"/>
      </x:font>
    </x:dxf>
    <x:dxf>
      <x:fill>
        <x:patternFill>
          <x:bgColor rgb="FFF1F4F8"/>
        </x:patternFill>
      </x:fill>
    </x:dxf>
    <x:dxf>
      <x:fill>
        <x:patternFill>
          <x:bgColor rgb="FFF1F4F8"/>
        </x:patternFill>
      </x:fill>
    </x:dxf>
    <x:dxf>
      <x:font>
        <x:b/>
        <x:color rgb="FF16794B"/>
      </x:font>
      <x:fill>
        <x:patternFill>
          <x:bgColor rgb="FFE7F4ED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4D6"/>
        </x:patternFill>
      </x:fill>
    </x:dxf>
    <x:dxf>
      <x:font>
        <x:b/>
        <x:color rgb="FFB42318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0F0F0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E3E3E3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999999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ec322c5ad4510" /><Relationship Type="http://schemas.openxmlformats.org/officeDocument/2006/relationships/theme" Target="/xl/theme/theme1.xml" Id="Rdc8f0b1a5a0b4346" /><Relationship Type="http://schemas.openxmlformats.org/officeDocument/2006/relationships/sharedStrings" Target="/xl/sharedStrings.xml" Id="Rcce39a52c8b1495b" /><Relationship Type="http://schemas.openxmlformats.org/officeDocument/2006/relationships/worksheet" Target="/xl/worksheets/sheet1.xml" Id="R42abdb5a2bde4a53" /><Relationship Type="http://schemas.openxmlformats.org/officeDocument/2006/relationships/worksheet" Target="/xl/worksheets/sheet2.xml" Id="Reb9491e32177471e" /><Relationship Type="http://schemas.openxmlformats.org/officeDocument/2006/relationships/worksheet" Target="/xl/worksheets/sheet3.xml" Id="R4d13337f17af40fd" /><Relationship Type="http://schemas.openxmlformats.org/officeDocument/2006/relationships/worksheet" Target="/xl/worksheets/sheet4.xml" Id="R64813770a5db464a" /><Relationship Type="http://schemas.openxmlformats.org/officeDocument/2006/relationships/worksheet" Target="/xl/worksheets/sheet5.xml" Id="R88c16ae1e83a4945" /><Relationship Type="http://schemas.openxmlformats.org/officeDocument/2006/relationships/worksheet" Target="/xl/worksheets/sheet6.xml" Id="R39c479b0015a475e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C000"/>
  </x:sheetPr>
  <x:sheetFormatPr defaultRowHeight="23.25"/>
  <x:cols>
    <x:col min="1" max="1" width="2" hidden="0" customWidth="1"/>
    <x:col min="2" max="2" width="34" hidden="0" customWidth="1"/>
    <x:col min="3" max="3" width="23" hidden="0" customWidth="1"/>
    <x:col min="4" max="4" width="16" hidden="0" customWidth="1"/>
    <x:col min="5" max="5" width="17" hidden="0" customWidth="1"/>
    <x:col min="6" max="6" width="16" hidden="0" customWidth="1"/>
    <x:col min="7" max="7" width="15" hidden="0" customWidth="1"/>
    <x:col min="8" max="8" width="17" hidden="0" customWidth="1"/>
    <x:col min="9" max="9" width="18" hidden="0" customWidth="1"/>
    <x:col min="10" max="10" width="19" hidden="0" customWidth="1"/>
    <x:col min="11" max="11" width="17" hidden="0" customWidth="1"/>
    <x:col min="12" max="12" width="12" hidden="0" customWidth="1"/>
    <x:col min="13" max="13" width="18.85546875" hidden="1" customWidth="0"/>
    <x:col min="14" max="14" width="17" hidden="1" customWidth="0"/>
    <x:col min="15" max="15" width="5.42578125" hidden="1" customWidth="0"/>
    <x:col min="16" max="20" width="0.140625" hidden="1" customWidth="0"/>
    <x:col min="21" max="21" width="14.28515625" hidden="1" customWidth="0"/>
    <x:col min="22" max="27" width="0.140625" hidden="1" customWidth="0"/>
    <x:col min="28" max="28" width="29.5703125" hidden="1" customWidth="0"/>
    <x:col min="29" max="40" width="0.140625" hidden="1" customWidth="0"/>
    <x:col min="41" max="41" width="13.42578125" hidden="1" customWidth="0"/>
    <x:col min="42" max="16383" width="0.140625" hidden="1" customWidth="0"/>
    <x:col min="16384" max="16384" width="14.85546875" hidden="1" customWidth="0"/>
  </x:cols>
  <x:sheetData>
    <x:row r="1" ht="32" customHeight="1">
      <x:c r="A1" s="432"/>
      <x:c r="B1" s="347" t="str">
        <x:v>AUDITORIA DE PREÇOS  |  MÉTRICA DE RESULTADOS</x:v>
      </x:c>
      <x:c r="C1" s="347"/>
      <x:c r="D1" s="347"/>
      <x:c r="E1" s="347"/>
      <x:c r="F1" s="347"/>
      <x:c r="G1" s="347"/>
      <x:c r="H1" s="347"/>
      <x:c r="I1" s="347"/>
      <x:c r="J1" s="347"/>
      <x:c r="K1" s="347"/>
      <x:c r="L1" s="347"/>
    </x:row>
    <x:row r="2" ht="26" customHeight="1">
      <x:c r="A2" s="363" t="n">
        <x:f>DATE(C2,INDEX('CADASTRO DE LOJAS'!$L$3:$L$14,MATCH(E2,'CADASTRO DE LOJAS'!$K$3:$K$14,0)),1)</x:f>
        <x:v>46235</x:v>
      </x:c>
      <x:c r="B2" s="349" t="str">
        <x:v>ANO</x:v>
      </x:c>
      <x:c r="C2" s="694" t="n">
        <x:v>2026</x:v>
      </x:c>
      <x:c r="D2" s="351" t="str">
        <x:v>MÊS</x:v>
      </x:c>
      <x:c r="E2" s="695" t="str">
        <x:v>agosto</x:v>
      </x:c>
      <x:c r="F2" s="354" t="str">
        <x:v>PERÍODO SELECIONADO</x:v>
      </x:c>
      <x:c r="G2" s="354"/>
      <x:c r="H2" s="354"/>
      <x:c r="I2" s="696" t="str">
        <x:f>E2&amp;"/"&amp;C2</x:f>
        <x:v>agosto/2026</x:v>
      </x:c>
      <x:c r="J2" s="696"/>
      <x:c r="K2" s="696"/>
      <x:c r="L2" s="696"/>
    </x:row>
    <x:row r="3" ht="42" customHeight="1">
      <x:c r="A3" s="32"/>
      <x:c r="B3" s="365" t="str">
        <x:v>LOJAS</x:v>
      </x:c>
      <x:c r="C3" s="365" t="str">
        <x:v>REGIÃO</x:v>
      </x:c>
      <x:c r="D3" s="367" t="str">
        <x:v>ETIQUETAS
AUDITADAS</x:v>
      </x:c>
      <x:c r="E3" s="367" t="str">
        <x:v>DIVERGÊNCIAS
ENCONTRADAS</x:v>
      </x:c>
      <x:c r="F3" s="367" t="str">
        <x:v>PRODUTOS
SEM PREÇO</x:v>
      </x:c>
      <x:c r="G3" s="369" t="str">
        <x:v>QTD.
DESCONTOS</x:v>
      </x:c>
      <x:c r="H3" s="369" t="str">
        <x:v>VALOR
DESCONTOS</x:v>
      </x:c>
      <x:c r="I3" s="369" t="str">
        <x:v>QTD. DESCONTOS
ANO ANTERIOR</x:v>
      </x:c>
      <x:c r="J3" s="369" t="str">
        <x:v>VALOR DESCONTOS
ANO ANTERIOR</x:v>
      </x:c>
      <x:c r="K3" s="371" t="str">
        <x:v>META DE ETIQUETAS
AUDITADAS</x:v>
      </x:c>
      <x:c r="L3" s="371" t="str">
        <x:v>ATINGIDO</x:v>
      </x:c>
    </x:row>
    <x:row r="4" ht="20" customHeight="1">
      <x:c r="A4" s="32" t="n">
        <x:f>IF('CADASTRO DE LOJAS'!E5="SIM",'CADASTRO DE LOJAS'!B5,"")</x:f>
        <x:v>1</x:v>
      </x:c>
      <x:c r="B4" s="697" t="str">
        <x:f>IF($A4="","",'CADASTRO DE LOJAS'!F5)</x:f>
        <x:v>ML01 - JUNDIAÍ BARAO DE JUNDIAI</x:v>
      </x:c>
      <x:c r="C4" s="713" t="str">
        <x:f>IF($A4="","",'CADASTRO DE LOJAS'!D5)</x:f>
        <x:v>GUARDIÕES DA CHAMA</x:v>
      </x:c>
      <x:c r="D4" s="699" t="n">
        <x:f>IF($A4="","",IFERROR(INDEX(ETIQUETAS!$C$3:$AO$102,MATCH($A4,ETIQUETAS!$B$3:$B$102,0),MATCH($A$2,ETIQUETAS!$C$2:$AO$2,0)),0))</x:f>
        <x:v>12289</x:v>
      </x:c>
      <x:c r="E4" s="722" t="n">
        <x:f>IF($A4="","",IFERROR(INDEX('DIVERGÊNCIAS'!$C$3:$AO$102,MATCH($A4,'DIVERGÊNCIAS'!$B$3:$B$102,0),MATCH($A$2,'DIVERGÊNCIAS'!$C$2:$AO$2,0)),0))</x:f>
        <x:v>22</x:v>
      </x:c>
      <x:c r="F4" s="722" t="n">
        <x:f>IF($A4="","",IFERROR(INDEX('SEM PREÇO'!$C$3:$AO$102,MATCH($A4,'SEM PREÇO'!$B$3:$B$102,0),MATCH($A$2,'SEM PREÇO'!$C$2:$AO$2,0)),0))</x:f>
        <x:v>682</x:v>
      </x:c>
      <x:c r="G4" s="699" t="n">
        <x:f>IF($A4="","",IFERROR(INDEX(DESCONTOS!$C$66:$BD$125,MATCH($A4,DESCONTOS!$B$66:$B$125,0),MATCH($A$2,DESCONTOS!$C$65:$BD$65,0)),IFERROR(INDEX(DESCONTOS!$C$183:$BD$222,MATCH($A4,DESCONTOS!$B$183:$B$222,0),MATCH($A$2,DESCONTOS!$C$182:$BD$182,0)),0)))</x:f>
        <x:v>25</x:v>
      </x:c>
      <x:c r="H4" s="410" t="n">
        <x:f>IF($A4="","",IFERROR(INDEX(DESCONTOS!$C$3:$BD$62,MATCH($A4,DESCONTOS!$B$3:$B$62,0),MATCH($A$2,DESCONTOS!$C$2:$BD$2,0)),IFERROR(INDEX(DESCONTOS!$C$141:$BD$180,MATCH($A4,DESCONTOS!$B$141:$B$180,0),MATCH($A$2,DESCONTOS!$C$140:$BD$140,0)),0)))</x:f>
        <x:v>159.98</x:v>
      </x:c>
      <x:c r="I4" s="699" t="n">
        <x:f>IF($A4="","",IFERROR(INDEX(DESCONTOS!$C$66:$BD$125,MATCH($A4,DESCONTOS!$B$66:$B$125,0),MATCH(EDATE($A$2,-12),DESCONTOS!$C$65:$BD$65,0)),IFERROR(INDEX(DESCONTOS!$C$183:$BD$222,MATCH($A4,DESCONTOS!$B$183:$B$222,0),MATCH(EDATE($A$2,-12),DESCONTOS!$C$182:$BD$182,0)),0)))</x:f>
        <x:v>5</x:v>
      </x:c>
      <x:c r="J4" s="410" t="n">
        <x:f>IF($A4="","",IFERROR(INDEX(DESCONTOS!$C$3:$BD$62,MATCH($A4,DESCONTOS!$B$3:$B$62,0),MATCH(EDATE($A$2,-12),DESCONTOS!$C$2:$BD$2,0)),IFERROR(INDEX(DESCONTOS!$C$141:$BD$180,MATCH($A4,DESCONTOS!$B$141:$B$180,0),MATCH(EDATE($A$2,-12),DESCONTOS!$C$140:$BD$140,0)),0)))</x:f>
        <x:v>44.13</x:v>
      </x:c>
      <x:c r="K4" s="699" t="n">
        <x:f>IF($A4="","",IFERROR(INDEX('CADASTRO DE LOJAS'!$I$3:$I$41,MATCH($A$2,'CADASTRO DE LOJAS'!$H$3:$H$41,0)),6000))</x:f>
        <x:v>6000</x:v>
      </x:c>
      <x:c r="L4" s="701" t="str">
        <x:f>IF($A4="","",IF(D4&gt;K4,"SIM","NÃO"))</x:f>
        <x:v>SIM</x:v>
      </x:c>
    </x:row>
    <x:row r="5" ht="20" customHeight="1">
      <x:c r="A5" s="32" t="n">
        <x:f>IF('CADASTRO DE LOJAS'!E6="SIM",'CADASTRO DE LOJAS'!B6,"")</x:f>
        <x:v>2</x:v>
      </x:c>
      <x:c r="B5" s="697" t="str">
        <x:f>IF($A5="","",'CADASTRO DE LOJAS'!F6)</x:f>
        <x:v>ML02 - VÁRZEA PAULISTA</x:v>
      </x:c>
      <x:c r="C5" s="713" t="str">
        <x:f>IF($A5="","",'CADASTRO DE LOJAS'!D6)</x:f>
        <x:v>GUARDIÕES DA CHAMA</x:v>
      </x:c>
      <x:c r="D5" s="699" t="n">
        <x:f>IF($A5="","",IFERROR(INDEX(ETIQUETAS!$C$3:$AO$102,MATCH($A5,ETIQUETAS!$B$3:$B$102,0),MATCH($A$2,ETIQUETAS!$C$2:$AO$2,0)),0))</x:f>
        <x:v>6610</x:v>
      </x:c>
      <x:c r="E5" s="722" t="n">
        <x:f>IF($A5="","",IFERROR(INDEX('DIVERGÊNCIAS'!$C$3:$AO$102,MATCH($A5,'DIVERGÊNCIAS'!$B$3:$B$102,0),MATCH($A$2,'DIVERGÊNCIAS'!$C$2:$AO$2,0)),0))</x:f>
        <x:v>18</x:v>
      </x:c>
      <x:c r="F5" s="722" t="n">
        <x:f>IF($A5="","",IFERROR(INDEX('SEM PREÇO'!$C$3:$AO$102,MATCH($A5,'SEM PREÇO'!$B$3:$B$102,0),MATCH($A$2,'SEM PREÇO'!$C$2:$AO$2,0)),0))</x:f>
        <x:v>1452</x:v>
      </x:c>
      <x:c r="G5" s="699" t="n">
        <x:f>IF($A5="","",IFERROR(INDEX(DESCONTOS!$C$66:$BD$125,MATCH($A5,DESCONTOS!$B$66:$B$125,0),MATCH($A$2,DESCONTOS!$C$65:$BD$65,0)),IFERROR(INDEX(DESCONTOS!$C$183:$BD$222,MATCH($A5,DESCONTOS!$B$183:$B$222,0),MATCH($A$2,DESCONTOS!$C$182:$BD$182,0)),0)))</x:f>
        <x:v>8</x:v>
      </x:c>
      <x:c r="H5" s="410" t="n">
        <x:f>IF($A5="","",IFERROR(INDEX(DESCONTOS!$C$3:$BD$62,MATCH($A5,DESCONTOS!$B$3:$B$62,0),MATCH($A$2,DESCONTOS!$C$2:$BD$2,0)),IFERROR(INDEX(DESCONTOS!$C$141:$BD$180,MATCH($A5,DESCONTOS!$B$141:$B$180,0),MATCH($A$2,DESCONTOS!$C$140:$BD$140,0)),0)))</x:f>
        <x:v>50.91</x:v>
      </x:c>
      <x:c r="I5" s="699" t="n">
        <x:f>IF($A5="","",IFERROR(INDEX(DESCONTOS!$C$66:$BD$125,MATCH($A5,DESCONTOS!$B$66:$B$125,0),MATCH(EDATE($A$2,-12),DESCONTOS!$C$65:$BD$65,0)),IFERROR(INDEX(DESCONTOS!$C$183:$BD$222,MATCH($A5,DESCONTOS!$B$183:$B$222,0),MATCH(EDATE($A$2,-12),DESCONTOS!$C$182:$BD$182,0)),0)))</x:f>
        <x:v>6</x:v>
      </x:c>
      <x:c r="J5" s="410" t="n">
        <x:f>IF($A5="","",IFERROR(INDEX(DESCONTOS!$C$3:$BD$62,MATCH($A5,DESCONTOS!$B$3:$B$62,0),MATCH(EDATE($A$2,-12),DESCONTOS!$C$2:$BD$2,0)),IFERROR(INDEX(DESCONTOS!$C$141:$BD$180,MATCH($A5,DESCONTOS!$B$141:$B$180,0),MATCH(EDATE($A$2,-12),DESCONTOS!$C$140:$BD$140,0)),0)))</x:f>
        <x:v>27.7</x:v>
      </x:c>
      <x:c r="K5" s="699" t="n">
        <x:f>IF($A5="","",IFERROR(INDEX('CADASTRO DE LOJAS'!$I$3:$I$41,MATCH($A$2,'CADASTRO DE LOJAS'!$H$3:$H$41,0)),6000))</x:f>
        <x:v>6000</x:v>
      </x:c>
      <x:c r="L5" s="701" t="str">
        <x:f>IF($A5="","",IF(D5&gt;K5,"SIM","NÃO"))</x:f>
        <x:v>SIM</x:v>
      </x:c>
    </x:row>
    <x:row r="6" ht="20" customHeight="1">
      <x:c r="A6" s="32" t="n">
        <x:f>IF('CADASTRO DE LOJAS'!E7="SIM",'CADASTRO DE LOJAS'!B7,"")</x:f>
        <x:v>3</x:v>
      </x:c>
      <x:c r="B6" s="697" t="str">
        <x:f>IF($A6="","",'CADASTRO DE LOJAS'!F7)</x:f>
        <x:v>ML03 - JUNDIAÍ PRACA RUI BARBOSA</x:v>
      </x:c>
      <x:c r="C6" s="713" t="str">
        <x:f>IF($A6="","",'CADASTRO DE LOJAS'!D7)</x:f>
        <x:v>GUARDIÕES DA CHAMA</x:v>
      </x:c>
      <x:c r="D6" s="699" t="n">
        <x:f>IF($A6="","",IFERROR(INDEX(ETIQUETAS!$C$3:$AO$102,MATCH($A6,ETIQUETAS!$B$3:$B$102,0),MATCH($A$2,ETIQUETAS!$C$2:$AO$2,0)),0))</x:f>
        <x:v>6194</x:v>
      </x:c>
      <x:c r="E6" s="722" t="n">
        <x:f>IF($A6="","",IFERROR(INDEX('DIVERGÊNCIAS'!$C$3:$AO$102,MATCH($A6,'DIVERGÊNCIAS'!$B$3:$B$102,0),MATCH($A$2,'DIVERGÊNCIAS'!$C$2:$AO$2,0)),0))</x:f>
        <x:v>43</x:v>
      </x:c>
      <x:c r="F6" s="722" t="n">
        <x:f>IF($A6="","",IFERROR(INDEX('SEM PREÇO'!$C$3:$AO$102,MATCH($A6,'SEM PREÇO'!$B$3:$B$102,0),MATCH($A$2,'SEM PREÇO'!$C$2:$AO$2,0)),0))</x:f>
        <x:v>55</x:v>
      </x:c>
      <x:c r="G6" s="699" t="n">
        <x:f>IF($A6="","",IFERROR(INDEX(DESCONTOS!$C$66:$BD$125,MATCH($A6,DESCONTOS!$B$66:$B$125,0),MATCH($A$2,DESCONTOS!$C$65:$BD$65,0)),IFERROR(INDEX(DESCONTOS!$C$183:$BD$222,MATCH($A6,DESCONTOS!$B$183:$B$222,0),MATCH($A$2,DESCONTOS!$C$182:$BD$182,0)),0)))</x:f>
        <x:v>4</x:v>
      </x:c>
      <x:c r="H6" s="410" t="n">
        <x:f>IF($A6="","",IFERROR(INDEX(DESCONTOS!$C$3:$BD$62,MATCH($A6,DESCONTOS!$B$3:$B$62,0),MATCH($A$2,DESCONTOS!$C$2:$BD$2,0)),IFERROR(INDEX(DESCONTOS!$C$141:$BD$180,MATCH($A6,DESCONTOS!$B$141:$B$180,0),MATCH($A$2,DESCONTOS!$C$140:$BD$140,0)),0)))</x:f>
        <x:v>46</x:v>
      </x:c>
      <x:c r="I6" s="699" t="n">
        <x:f>IF($A6="","",IFERROR(INDEX(DESCONTOS!$C$66:$BD$125,MATCH($A6,DESCONTOS!$B$66:$B$125,0),MATCH(EDATE($A$2,-12),DESCONTOS!$C$65:$BD$65,0)),IFERROR(INDEX(DESCONTOS!$C$183:$BD$222,MATCH($A6,DESCONTOS!$B$183:$B$222,0),MATCH(EDATE($A$2,-12),DESCONTOS!$C$182:$BD$182,0)),0)))</x:f>
        <x:v>4</x:v>
      </x:c>
      <x:c r="J6" s="410" t="n">
        <x:f>IF($A6="","",IFERROR(INDEX(DESCONTOS!$C$3:$BD$62,MATCH($A6,DESCONTOS!$B$3:$B$62,0),MATCH(EDATE($A$2,-12),DESCONTOS!$C$2:$BD$2,0)),IFERROR(INDEX(DESCONTOS!$C$141:$BD$180,MATCH($A6,DESCONTOS!$B$141:$B$180,0),MATCH(EDATE($A$2,-12),DESCONTOS!$C$140:$BD$140,0)),0)))</x:f>
        <x:v>39</x:v>
      </x:c>
      <x:c r="K6" s="699" t="n">
        <x:f>IF($A6="","",IFERROR(INDEX('CADASTRO DE LOJAS'!$I$3:$I$41,MATCH($A$2,'CADASTRO DE LOJAS'!$H$3:$H$41,0)),6000))</x:f>
        <x:v>6000</x:v>
      </x:c>
      <x:c r="L6" s="701" t="str">
        <x:f>IF($A6="","",IF(D6&gt;K6,"SIM","NÃO"))</x:f>
        <x:v>SIM</x:v>
      </x:c>
    </x:row>
    <x:row r="7" ht="20" customHeight="1">
      <x:c r="A7" s="32" t="n">
        <x:f>IF('CADASTRO DE LOJAS'!E8="SIM",'CADASTRO DE LOJAS'!B8,"")</x:f>
        <x:v>5</x:v>
      </x:c>
      <x:c r="B7" s="697" t="str">
        <x:f>IF($A7="","",'CADASTRO DE LOJAS'!F8)</x:f>
        <x:v>ML05 - JUNDIAÍ MAXI SHOPPING</x:v>
      </x:c>
      <x:c r="C7" s="713" t="str">
        <x:f>IF($A7="","",'CADASTRO DE LOJAS'!D8)</x:f>
        <x:v>GUARDIÕES DA CHAMA</x:v>
      </x:c>
      <x:c r="D7" s="699" t="n">
        <x:f>IF($A7="","",IFERROR(INDEX(ETIQUETAS!$C$3:$AO$102,MATCH($A7,ETIQUETAS!$B$3:$B$102,0),MATCH($A$2,ETIQUETAS!$C$2:$AO$2,0)),0))</x:f>
        <x:v>6058</x:v>
      </x:c>
      <x:c r="E7" s="722" t="n">
        <x:f>IF($A7="","",IFERROR(INDEX('DIVERGÊNCIAS'!$C$3:$AO$102,MATCH($A7,'DIVERGÊNCIAS'!$B$3:$B$102,0),MATCH($A$2,'DIVERGÊNCIAS'!$C$2:$AO$2,0)),0))</x:f>
        <x:v>76</x:v>
      </x:c>
      <x:c r="F7" s="722" t="n">
        <x:f>IF($A7="","",IFERROR(INDEX('SEM PREÇO'!$C$3:$AO$102,MATCH($A7,'SEM PREÇO'!$B$3:$B$102,0),MATCH($A$2,'SEM PREÇO'!$C$2:$AO$2,0)),0))</x:f>
        <x:v>375</x:v>
      </x:c>
      <x:c r="G7" s="699" t="n">
        <x:f>IF($A7="","",IFERROR(INDEX(DESCONTOS!$C$66:$BD$125,MATCH($A7,DESCONTOS!$B$66:$B$125,0),MATCH($A$2,DESCONTOS!$C$65:$BD$65,0)),IFERROR(INDEX(DESCONTOS!$C$183:$BD$222,MATCH($A7,DESCONTOS!$B$183:$B$222,0),MATCH($A$2,DESCONTOS!$C$182:$BD$182,0)),0)))</x:f>
        <x:v>1</x:v>
      </x:c>
      <x:c r="H7" s="410" t="n">
        <x:f>IF($A7="","",IFERROR(INDEX(DESCONTOS!$C$3:$BD$62,MATCH($A7,DESCONTOS!$B$3:$B$62,0),MATCH($A$2,DESCONTOS!$C$2:$BD$2,0)),IFERROR(INDEX(DESCONTOS!$C$141:$BD$180,MATCH($A7,DESCONTOS!$B$141:$B$180,0),MATCH($A$2,DESCONTOS!$C$140:$BD$140,0)),0)))</x:f>
        <x:v>5</x:v>
      </x:c>
      <x:c r="I7" s="699" t="n">
        <x:f>IF($A7="","",IFERROR(INDEX(DESCONTOS!$C$66:$BD$125,MATCH($A7,DESCONTOS!$B$66:$B$125,0),MATCH(EDATE($A$2,-12),DESCONTOS!$C$65:$BD$65,0)),IFERROR(INDEX(DESCONTOS!$C$183:$BD$222,MATCH($A7,DESCONTOS!$B$183:$B$222,0),MATCH(EDATE($A$2,-12),DESCONTOS!$C$182:$BD$182,0)),0)))</x:f>
        <x:v>13</x:v>
      </x:c>
      <x:c r="J7" s="410" t="n">
        <x:f>IF($A7="","",IFERROR(INDEX(DESCONTOS!$C$3:$BD$62,MATCH($A7,DESCONTOS!$B$3:$B$62,0),MATCH(EDATE($A$2,-12),DESCONTOS!$C$2:$BD$2,0)),IFERROR(INDEX(DESCONTOS!$C$141:$BD$180,MATCH($A7,DESCONTOS!$B$141:$B$180,0),MATCH(EDATE($A$2,-12),DESCONTOS!$C$140:$BD$140,0)),0)))</x:f>
        <x:v>109.41</x:v>
      </x:c>
      <x:c r="K7" s="699" t="n">
        <x:f>IF($A7="","",IFERROR(INDEX('CADASTRO DE LOJAS'!$I$3:$I$41,MATCH($A$2,'CADASTRO DE LOJAS'!$H$3:$H$41,0)),6000))</x:f>
        <x:v>6000</x:v>
      </x:c>
      <x:c r="L7" s="701" t="str">
        <x:f>IF($A7="","",IF(D7&gt;K7,"SIM","NÃO"))</x:f>
        <x:v>SIM</x:v>
      </x:c>
    </x:row>
    <x:row r="8" ht="20" customHeight="1">
      <x:c r="A8" s="32" t="n">
        <x:f>IF('CADASTRO DE LOJAS'!E9="SIM",'CADASTRO DE LOJAS'!B9,"")</x:f>
        <x:v>6</x:v>
      </x:c>
      <x:c r="B8" s="697" t="str">
        <x:f>IF($A8="","",'CADASTRO DE LOJAS'!F9)</x:f>
        <x:v>ML06 - CAMPINAS BARÃO DE ITAPURA</x:v>
      </x:c>
      <x:c r="C8" s="713" t="str">
        <x:f>IF($A8="","",'CADASTRO DE LOJAS'!D9)</x:f>
        <x:v>GUARDIÕES DA LUZ</x:v>
      </x:c>
      <x:c r="D8" s="699" t="n">
        <x:f>IF($A8="","",IFERROR(INDEX(ETIQUETAS!$C$3:$AO$102,MATCH($A8,ETIQUETAS!$B$3:$B$102,0),MATCH($A$2,ETIQUETAS!$C$2:$AO$2,0)),0))</x:f>
        <x:v>6009</x:v>
      </x:c>
      <x:c r="E8" s="722" t="n">
        <x:f>IF($A8="","",IFERROR(INDEX('DIVERGÊNCIAS'!$C$3:$AO$102,MATCH($A8,'DIVERGÊNCIAS'!$B$3:$B$102,0),MATCH($A$2,'DIVERGÊNCIAS'!$C$2:$AO$2,0)),0))</x:f>
        <x:v>76</x:v>
      </x:c>
      <x:c r="F8" s="722" t="n">
        <x:f>IF($A8="","",IFERROR(INDEX('SEM PREÇO'!$C$3:$AO$102,MATCH($A8,'SEM PREÇO'!$B$3:$B$102,0),MATCH($A$2,'SEM PREÇO'!$C$2:$AO$2,0)),0))</x:f>
        <x:v>208</x:v>
      </x:c>
      <x:c r="G8" s="699" t="n">
        <x:f>IF($A8="","",IFERROR(INDEX(DESCONTOS!$C$66:$BD$125,MATCH($A8,DESCONTOS!$B$66:$B$125,0),MATCH($A$2,DESCONTOS!$C$65:$BD$65,0)),IFERROR(INDEX(DESCONTOS!$C$183:$BD$222,MATCH($A8,DESCONTOS!$B$183:$B$222,0),MATCH($A$2,DESCONTOS!$C$182:$BD$182,0)),0)))</x:f>
        <x:v>27</x:v>
      </x:c>
      <x:c r="H8" s="410" t="n">
        <x:f>IF($A8="","",IFERROR(INDEX(DESCONTOS!$C$3:$BD$62,MATCH($A8,DESCONTOS!$B$3:$B$62,0),MATCH($A$2,DESCONTOS!$C$2:$BD$2,0)),IFERROR(INDEX(DESCONTOS!$C$141:$BD$180,MATCH($A8,DESCONTOS!$B$141:$B$180,0),MATCH($A$2,DESCONTOS!$C$140:$BD$140,0)),0)))</x:f>
        <x:v>148.82</x:v>
      </x:c>
      <x:c r="I8" s="699" t="n">
        <x:f>IF($A8="","",IFERROR(INDEX(DESCONTOS!$C$66:$BD$125,MATCH($A8,DESCONTOS!$B$66:$B$125,0),MATCH(EDATE($A$2,-12),DESCONTOS!$C$65:$BD$65,0)),IFERROR(INDEX(DESCONTOS!$C$183:$BD$222,MATCH($A8,DESCONTOS!$B$183:$B$222,0),MATCH(EDATE($A$2,-12),DESCONTOS!$C$182:$BD$182,0)),0)))</x:f>
        <x:v>15</x:v>
      </x:c>
      <x:c r="J8" s="410" t="n">
        <x:f>IF($A8="","",IFERROR(INDEX(DESCONTOS!$C$3:$BD$62,MATCH($A8,DESCONTOS!$B$3:$B$62,0),MATCH(EDATE($A$2,-12),DESCONTOS!$C$2:$BD$2,0)),IFERROR(INDEX(DESCONTOS!$C$141:$BD$180,MATCH($A8,DESCONTOS!$B$141:$B$180,0),MATCH(EDATE($A$2,-12),DESCONTOS!$C$140:$BD$140,0)),0)))</x:f>
        <x:v>120.61</x:v>
      </x:c>
      <x:c r="K8" s="699" t="n">
        <x:f>IF($A8="","",IFERROR(INDEX('CADASTRO DE LOJAS'!$I$3:$I$41,MATCH($A$2,'CADASTRO DE LOJAS'!$H$3:$H$41,0)),6000))</x:f>
        <x:v>6000</x:v>
      </x:c>
      <x:c r="L8" s="701" t="str">
        <x:f>IF($A8="","",IF(D8&gt;K8,"SIM","NÃO"))</x:f>
        <x:v>SIM</x:v>
      </x:c>
    </x:row>
    <x:row r="9" ht="20" customHeight="1">
      <x:c r="A9" s="32" t="n">
        <x:f>IF('CADASTRO DE LOJAS'!E10="SIM",'CADASTRO DE LOJAS'!B10,"")</x:f>
        <x:v>7</x:v>
      </x:c>
      <x:c r="B9" s="697" t="str">
        <x:f>IF($A9="","",'CADASTRO DE LOJAS'!F10)</x:f>
        <x:v>ML07 - ITU CENTRO</x:v>
      </x:c>
      <x:c r="C9" s="713" t="str">
        <x:f>IF($A9="","",'CADASTRO DE LOJAS'!D10)</x:f>
        <x:v>RAÍZES DO LAR</x:v>
      </x:c>
      <x:c r="D9" s="699" t="n">
        <x:f>IF($A9="","",IFERROR(INDEX(ETIQUETAS!$C$3:$AO$102,MATCH($A9,ETIQUETAS!$B$3:$B$102,0),MATCH($A$2,ETIQUETAS!$C$2:$AO$2,0)),0))</x:f>
        <x:v>12061</x:v>
      </x:c>
      <x:c r="E9" s="722" t="n">
        <x:f>IF($A9="","",IFERROR(INDEX('DIVERGÊNCIAS'!$C$3:$AO$102,MATCH($A9,'DIVERGÊNCIAS'!$B$3:$B$102,0),MATCH($A$2,'DIVERGÊNCIAS'!$C$2:$AO$2,0)),0))</x:f>
        <x:v>6</x:v>
      </x:c>
      <x:c r="F9" s="722" t="n">
        <x:f>IF($A9="","",IFERROR(INDEX('SEM PREÇO'!$C$3:$AO$102,MATCH($A9,'SEM PREÇO'!$B$3:$B$102,0),MATCH($A$2,'SEM PREÇO'!$C$2:$AO$2,0)),0))</x:f>
        <x:v>1</x:v>
      </x:c>
      <x:c r="G9" s="699" t="n">
        <x:f>IF($A9="","",IFERROR(INDEX(DESCONTOS!$C$66:$BD$125,MATCH($A9,DESCONTOS!$B$66:$B$125,0),MATCH($A$2,DESCONTOS!$C$65:$BD$65,0)),IFERROR(INDEX(DESCONTOS!$C$183:$BD$222,MATCH($A9,DESCONTOS!$B$183:$B$222,0),MATCH($A$2,DESCONTOS!$C$182:$BD$182,0)),0)))</x:f>
        <x:v>17</x:v>
      </x:c>
      <x:c r="H9" s="410" t="n">
        <x:f>IF($A9="","",IFERROR(INDEX(DESCONTOS!$C$3:$BD$62,MATCH($A9,DESCONTOS!$B$3:$B$62,0),MATCH($A$2,DESCONTOS!$C$2:$BD$2,0)),IFERROR(INDEX(DESCONTOS!$C$141:$BD$180,MATCH($A9,DESCONTOS!$B$141:$B$180,0),MATCH($A$2,DESCONTOS!$C$140:$BD$140,0)),0)))</x:f>
        <x:v>101.62</x:v>
      </x:c>
      <x:c r="I9" s="699" t="n">
        <x:f>IF($A9="","",IFERROR(INDEX(DESCONTOS!$C$66:$BD$125,MATCH($A9,DESCONTOS!$B$66:$B$125,0),MATCH(EDATE($A$2,-12),DESCONTOS!$C$65:$BD$65,0)),IFERROR(INDEX(DESCONTOS!$C$183:$BD$222,MATCH($A9,DESCONTOS!$B$183:$B$222,0),MATCH(EDATE($A$2,-12),DESCONTOS!$C$182:$BD$182,0)),0)))</x:f>
        <x:v>23</x:v>
      </x:c>
      <x:c r="J9" s="410" t="n">
        <x:f>IF($A9="","",IFERROR(INDEX(DESCONTOS!$C$3:$BD$62,MATCH($A9,DESCONTOS!$B$3:$B$62,0),MATCH(EDATE($A$2,-12),DESCONTOS!$C$2:$BD$2,0)),IFERROR(INDEX(DESCONTOS!$C$141:$BD$180,MATCH($A9,DESCONTOS!$B$141:$B$180,0),MATCH(EDATE($A$2,-12),DESCONTOS!$C$140:$BD$140,0)),0)))</x:f>
        <x:v>232.55</x:v>
      </x:c>
      <x:c r="K9" s="699" t="n">
        <x:f>IF($A9="","",IFERROR(INDEX('CADASTRO DE LOJAS'!$I$3:$I$41,MATCH($A$2,'CADASTRO DE LOJAS'!$H$3:$H$41,0)),6000))</x:f>
        <x:v>6000</x:v>
      </x:c>
      <x:c r="L9" s="701" t="str">
        <x:f>IF($A9="","",IF(D9&gt;K9,"SIM","NÃO"))</x:f>
        <x:v>SIM</x:v>
      </x:c>
    </x:row>
    <x:row r="10" ht="20" customHeight="1">
      <x:c r="A10" s="32" t="n">
        <x:f>IF('CADASTRO DE LOJAS'!E11="SIM",'CADASTRO DE LOJAS'!B11,"")</x:f>
        <x:v>8</x:v>
      </x:c>
      <x:c r="B10" s="697" t="str">
        <x:f>IF($A10="","",'CADASTRO DE LOJAS'!F11)</x:f>
        <x:v>ML08 - CAMPINAS MORAES SALES</x:v>
      </x:c>
      <x:c r="C10" s="713" t="str">
        <x:f>IF($A10="","",'CADASTRO DE LOJAS'!D11)</x:f>
        <x:v>GUARDIÕES DA LUZ</x:v>
      </x:c>
      <x:c r="D10" s="699" t="n">
        <x:f>IF($A10="","",IFERROR(INDEX(ETIQUETAS!$C$3:$AO$102,MATCH($A10,ETIQUETAS!$B$3:$B$102,0),MATCH($A$2,ETIQUETAS!$C$2:$AO$2,0)),0))</x:f>
        <x:v>12987</x:v>
      </x:c>
      <x:c r="E10" s="722" t="n">
        <x:f>IF($A10="","",IFERROR(INDEX('DIVERGÊNCIAS'!$C$3:$AO$102,MATCH($A10,'DIVERGÊNCIAS'!$B$3:$B$102,0),MATCH($A$2,'DIVERGÊNCIAS'!$C$2:$AO$2,0)),0))</x:f>
        <x:v>149</x:v>
      </x:c>
      <x:c r="F10" s="722" t="n">
        <x:f>IF($A10="","",IFERROR(INDEX('SEM PREÇO'!$C$3:$AO$102,MATCH($A10,'SEM PREÇO'!$B$3:$B$102,0),MATCH($A$2,'SEM PREÇO'!$C$2:$AO$2,0)),0))</x:f>
        <x:v>140</x:v>
      </x:c>
      <x:c r="G10" s="699" t="n">
        <x:f>IF($A10="","",IFERROR(INDEX(DESCONTOS!$C$66:$BD$125,MATCH($A10,DESCONTOS!$B$66:$B$125,0),MATCH($A$2,DESCONTOS!$C$65:$BD$65,0)),IFERROR(INDEX(DESCONTOS!$C$183:$BD$222,MATCH($A10,DESCONTOS!$B$183:$B$222,0),MATCH($A$2,DESCONTOS!$C$182:$BD$182,0)),0)))</x:f>
        <x:v>70</x:v>
      </x:c>
      <x:c r="H10" s="410" t="n">
        <x:f>IF($A10="","",IFERROR(INDEX(DESCONTOS!$C$3:$BD$62,MATCH($A10,DESCONTOS!$B$3:$B$62,0),MATCH($A$2,DESCONTOS!$C$2:$BD$2,0)),IFERROR(INDEX(DESCONTOS!$C$141:$BD$180,MATCH($A10,DESCONTOS!$B$141:$B$180,0),MATCH($A$2,DESCONTOS!$C$140:$BD$140,0)),0)))</x:f>
        <x:v>762.32</x:v>
      </x:c>
      <x:c r="I10" s="699" t="n">
        <x:f>IF($A10="","",IFERROR(INDEX(DESCONTOS!$C$66:$BD$125,MATCH($A10,DESCONTOS!$B$66:$B$125,0),MATCH(EDATE($A$2,-12),DESCONTOS!$C$65:$BD$65,0)),IFERROR(INDEX(DESCONTOS!$C$183:$BD$222,MATCH($A10,DESCONTOS!$B$183:$B$222,0),MATCH(EDATE($A$2,-12),DESCONTOS!$C$182:$BD$182,0)),0)))</x:f>
        <x:v>23</x:v>
      </x:c>
      <x:c r="J10" s="410" t="n">
        <x:f>IF($A10="","",IFERROR(INDEX(DESCONTOS!$C$3:$BD$62,MATCH($A10,DESCONTOS!$B$3:$B$62,0),MATCH(EDATE($A$2,-12),DESCONTOS!$C$2:$BD$2,0)),IFERROR(INDEX(DESCONTOS!$C$141:$BD$180,MATCH($A10,DESCONTOS!$B$141:$B$180,0),MATCH(EDATE($A$2,-12),DESCONTOS!$C$140:$BD$140,0)),0)))</x:f>
        <x:v>234.42</x:v>
      </x:c>
      <x:c r="K10" s="699" t="n">
        <x:f>IF($A10="","",IFERROR(INDEX('CADASTRO DE LOJAS'!$I$3:$I$41,MATCH($A$2,'CADASTRO DE LOJAS'!$H$3:$H$41,0)),6000))</x:f>
        <x:v>6000</x:v>
      </x:c>
      <x:c r="L10" s="701" t="str">
        <x:f>IF($A10="","",IF(D10&gt;K10,"SIM","NÃO"))</x:f>
        <x:v>SIM</x:v>
      </x:c>
    </x:row>
    <x:row r="11" ht="20" customHeight="1">
      <x:c r="A11" s="32" t="n">
        <x:f>IF('CADASTRO DE LOJAS'!E12="SIM",'CADASTRO DE LOJAS'!B12,"")</x:f>
        <x:v>9</x:v>
      </x:c>
      <x:c r="B11" s="697" t="str">
        <x:f>IF($A11="","",'CADASTRO DE LOJAS'!F12)</x:f>
        <x:v>ML09 - INDAIATUBA</x:v>
      </x:c>
      <x:c r="C11" s="713" t="str">
        <x:f>IF($A11="","",'CADASTRO DE LOJAS'!D12)</x:f>
        <x:v>RAÍZES DO LAR</x:v>
      </x:c>
      <x:c r="D11" s="699" t="n">
        <x:f>IF($A11="","",IFERROR(INDEX(ETIQUETAS!$C$3:$AO$102,MATCH($A11,ETIQUETAS!$B$3:$B$102,0),MATCH($A$2,ETIQUETAS!$C$2:$AO$2,0)),0))</x:f>
        <x:v>6132</x:v>
      </x:c>
      <x:c r="E11" s="722" t="n">
        <x:f>IF($A11="","",IFERROR(INDEX('DIVERGÊNCIAS'!$C$3:$AO$102,MATCH($A11,'DIVERGÊNCIAS'!$B$3:$B$102,0),MATCH($A$2,'DIVERGÊNCIAS'!$C$2:$AO$2,0)),0))</x:f>
        <x:v>0</x:v>
      </x:c>
      <x:c r="F11" s="722" t="n">
        <x:f>IF($A11="","",IFERROR(INDEX('SEM PREÇO'!$C$3:$AO$102,MATCH($A11,'SEM PREÇO'!$B$3:$B$102,0),MATCH($A$2,'SEM PREÇO'!$C$2:$AO$2,0)),0))</x:f>
        <x:v>1389</x:v>
      </x:c>
      <x:c r="G11" s="699" t="n">
        <x:f>IF($A11="","",IFERROR(INDEX(DESCONTOS!$C$66:$BD$125,MATCH($A11,DESCONTOS!$B$66:$B$125,0),MATCH($A$2,DESCONTOS!$C$65:$BD$65,0)),IFERROR(INDEX(DESCONTOS!$C$183:$BD$222,MATCH($A11,DESCONTOS!$B$183:$B$222,0),MATCH($A$2,DESCONTOS!$C$182:$BD$182,0)),0)))</x:f>
        <x:v>134</x:v>
      </x:c>
      <x:c r="H11" s="410" t="n">
        <x:f>IF($A11="","",IFERROR(INDEX(DESCONTOS!$C$3:$BD$62,MATCH($A11,DESCONTOS!$B$3:$B$62,0),MATCH($A$2,DESCONTOS!$C$2:$BD$2,0)),IFERROR(INDEX(DESCONTOS!$C$141:$BD$180,MATCH($A11,DESCONTOS!$B$141:$B$180,0),MATCH($A$2,DESCONTOS!$C$140:$BD$140,0)),0)))</x:f>
        <x:v>1956.22</x:v>
      </x:c>
      <x:c r="I11" s="699" t="n">
        <x:f>IF($A11="","",IFERROR(INDEX(DESCONTOS!$C$66:$BD$125,MATCH($A11,DESCONTOS!$B$66:$B$125,0),MATCH(EDATE($A$2,-12),DESCONTOS!$C$65:$BD$65,0)),IFERROR(INDEX(DESCONTOS!$C$183:$BD$222,MATCH($A11,DESCONTOS!$B$183:$B$222,0),MATCH(EDATE($A$2,-12),DESCONTOS!$C$182:$BD$182,0)),0)))</x:f>
        <x:v>22</x:v>
      </x:c>
      <x:c r="J11" s="410" t="n">
        <x:f>IF($A11="","",IFERROR(INDEX(DESCONTOS!$C$3:$BD$62,MATCH($A11,DESCONTOS!$B$3:$B$62,0),MATCH(EDATE($A$2,-12),DESCONTOS!$C$2:$BD$2,0)),IFERROR(INDEX(DESCONTOS!$C$141:$BD$180,MATCH($A11,DESCONTOS!$B$141:$B$180,0),MATCH(EDATE($A$2,-12),DESCONTOS!$C$140:$BD$140,0)),0)))</x:f>
        <x:v>282.5</x:v>
      </x:c>
      <x:c r="K11" s="699" t="n">
        <x:f>IF($A11="","",IFERROR(INDEX('CADASTRO DE LOJAS'!$I$3:$I$41,MATCH($A$2,'CADASTRO DE LOJAS'!$H$3:$H$41,0)),6000))</x:f>
        <x:v>6000</x:v>
      </x:c>
      <x:c r="L11" s="701" t="str">
        <x:f>IF($A11="","",IF(D11&gt;K11,"SIM","NÃO"))</x:f>
        <x:v>SIM</x:v>
      </x:c>
    </x:row>
    <x:row r="12" ht="20" customHeight="1">
      <x:c r="A12" s="32" t="n">
        <x:f>IF('CADASTRO DE LOJAS'!E13="SIM",'CADASTRO DE LOJAS'!B13,"")</x:f>
        <x:v>10</x:v>
      </x:c>
      <x:c r="B12" s="697" t="str">
        <x:f>IF($A12="","",'CADASTRO DE LOJAS'!F13)</x:f>
        <x:v>ML10 - CAPIVARI</x:v>
      </x:c>
      <x:c r="C12" s="713" t="str">
        <x:f>IF($A12="","",'CADASTRO DE LOJAS'!D13)</x:f>
        <x:v>GUARDIÕES DA LUZ</x:v>
      </x:c>
      <x:c r="D12" s="699" t="n">
        <x:f>IF($A12="","",IFERROR(INDEX(ETIQUETAS!$C$3:$AO$102,MATCH($A12,ETIQUETAS!$B$3:$B$102,0),MATCH($A$2,ETIQUETAS!$C$2:$AO$2,0)),0))</x:f>
        <x:v>6044</x:v>
      </x:c>
      <x:c r="E12" s="722" t="n">
        <x:f>IF($A12="","",IFERROR(INDEX('DIVERGÊNCIAS'!$C$3:$AO$102,MATCH($A12,'DIVERGÊNCIAS'!$B$3:$B$102,0),MATCH($A$2,'DIVERGÊNCIAS'!$C$2:$AO$2,0)),0))</x:f>
        <x:v>46</x:v>
      </x:c>
      <x:c r="F12" s="722" t="n">
        <x:f>IF($A12="","",IFERROR(INDEX('SEM PREÇO'!$C$3:$AO$102,MATCH($A12,'SEM PREÇO'!$B$3:$B$102,0),MATCH($A$2,'SEM PREÇO'!$C$2:$AO$2,0)),0))</x:f>
        <x:v>115</x:v>
      </x:c>
      <x:c r="G12" s="699" t="n">
        <x:f>IF($A12="","",IFERROR(INDEX(DESCONTOS!$C$66:$BD$125,MATCH($A12,DESCONTOS!$B$66:$B$125,0),MATCH($A$2,DESCONTOS!$C$65:$BD$65,0)),IFERROR(INDEX(DESCONTOS!$C$183:$BD$222,MATCH($A12,DESCONTOS!$B$183:$B$222,0),MATCH($A$2,DESCONTOS!$C$182:$BD$182,0)),0)))</x:f>
        <x:v>2</x:v>
      </x:c>
      <x:c r="H12" s="410" t="n">
        <x:f>IF($A12="","",IFERROR(INDEX(DESCONTOS!$C$3:$BD$62,MATCH($A12,DESCONTOS!$B$3:$B$62,0),MATCH($A$2,DESCONTOS!$C$2:$BD$2,0)),IFERROR(INDEX(DESCONTOS!$C$141:$BD$180,MATCH($A12,DESCONTOS!$B$141:$B$180,0),MATCH($A$2,DESCONTOS!$C$140:$BD$140,0)),0)))</x:f>
        <x:v>11</x:v>
      </x:c>
      <x:c r="I12" s="699" t="n">
        <x:f>IF($A12="","",IFERROR(INDEX(DESCONTOS!$C$66:$BD$125,MATCH($A12,DESCONTOS!$B$66:$B$125,0),MATCH(EDATE($A$2,-12),DESCONTOS!$C$65:$BD$65,0)),IFERROR(INDEX(DESCONTOS!$C$183:$BD$222,MATCH($A12,DESCONTOS!$B$183:$B$222,0),MATCH(EDATE($A$2,-12),DESCONTOS!$C$182:$BD$182,0)),0)))</x:f>
        <x:v>3</x:v>
      </x:c>
      <x:c r="J12" s="410" t="n">
        <x:f>IF($A12="","",IFERROR(INDEX(DESCONTOS!$C$3:$BD$62,MATCH($A12,DESCONTOS!$B$3:$B$62,0),MATCH(EDATE($A$2,-12),DESCONTOS!$C$2:$BD$2,0)),IFERROR(INDEX(DESCONTOS!$C$141:$BD$180,MATCH($A12,DESCONTOS!$B$141:$B$180,0),MATCH(EDATE($A$2,-12),DESCONTOS!$C$140:$BD$140,0)),0)))</x:f>
        <x:v>29</x:v>
      </x:c>
      <x:c r="K12" s="699" t="n">
        <x:f>IF($A12="","",IFERROR(INDEX('CADASTRO DE LOJAS'!$I$3:$I$41,MATCH($A$2,'CADASTRO DE LOJAS'!$H$3:$H$41,0)),6000))</x:f>
        <x:v>6000</x:v>
      </x:c>
      <x:c r="L12" s="701" t="str">
        <x:f>IF($A12="","",IF(D12&gt;K12,"SIM","NÃO"))</x:f>
        <x:v>SIM</x:v>
      </x:c>
    </x:row>
    <x:row r="13" ht="20" customHeight="1">
      <x:c r="A13" s="32" t="n">
        <x:f>IF('CADASTRO DE LOJAS'!E14="SIM",'CADASTRO DE LOJAS'!B14,"")</x:f>
        <x:v>11</x:v>
      </x:c>
      <x:c r="B13" s="697" t="str">
        <x:f>IF($A13="","",'CADASTRO DE LOJAS'!F14)</x:f>
        <x:v>ML11 - SOROCABA SIMUS</x:v>
      </x:c>
      <x:c r="C13" s="713" t="str">
        <x:f>IF($A13="","",'CADASTRO DE LOJAS'!D14)</x:f>
        <x:v>RAÍZES DO LAR</x:v>
      </x:c>
      <x:c r="D13" s="699" t="n">
        <x:f>IF($A13="","",IFERROR(INDEX(ETIQUETAS!$C$3:$AO$102,MATCH($A13,ETIQUETAS!$B$3:$B$102,0),MATCH($A$2,ETIQUETAS!$C$2:$AO$2,0)),0))</x:f>
        <x:v>16644</x:v>
      </x:c>
      <x:c r="E13" s="722" t="n">
        <x:f>IF($A13="","",IFERROR(INDEX('DIVERGÊNCIAS'!$C$3:$AO$102,MATCH($A13,'DIVERGÊNCIAS'!$B$3:$B$102,0),MATCH($A$2,'DIVERGÊNCIAS'!$C$2:$AO$2,0)),0))</x:f>
        <x:v>74</x:v>
      </x:c>
      <x:c r="F13" s="722" t="n">
        <x:f>IF($A13="","",IFERROR(INDEX('SEM PREÇO'!$C$3:$AO$102,MATCH($A13,'SEM PREÇO'!$B$3:$B$102,0),MATCH($A$2,'SEM PREÇO'!$C$2:$AO$2,0)),0))</x:f>
        <x:v>542</x:v>
      </x:c>
      <x:c r="G13" s="699" t="n">
        <x:f>IF($A13="","",IFERROR(INDEX(DESCONTOS!$C$66:$BD$125,MATCH($A13,DESCONTOS!$B$66:$B$125,0),MATCH($A$2,DESCONTOS!$C$65:$BD$65,0)),IFERROR(INDEX(DESCONTOS!$C$183:$BD$222,MATCH($A13,DESCONTOS!$B$183:$B$222,0),MATCH($A$2,DESCONTOS!$C$182:$BD$182,0)),0)))</x:f>
        <x:v>10</x:v>
      </x:c>
      <x:c r="H13" s="410" t="n">
        <x:f>IF($A13="","",IFERROR(INDEX(DESCONTOS!$C$3:$BD$62,MATCH($A13,DESCONTOS!$B$3:$B$62,0),MATCH($A$2,DESCONTOS!$C$2:$BD$2,0)),IFERROR(INDEX(DESCONTOS!$C$141:$BD$180,MATCH($A13,DESCONTOS!$B$141:$B$180,0),MATCH($A$2,DESCONTOS!$C$140:$BD$140,0)),0)))</x:f>
        <x:v>77</x:v>
      </x:c>
      <x:c r="I13" s="699" t="n">
        <x:f>IF($A13="","",IFERROR(INDEX(DESCONTOS!$C$66:$BD$125,MATCH($A13,DESCONTOS!$B$66:$B$125,0),MATCH(EDATE($A$2,-12),DESCONTOS!$C$65:$BD$65,0)),IFERROR(INDEX(DESCONTOS!$C$183:$BD$222,MATCH($A13,DESCONTOS!$B$183:$B$222,0),MATCH(EDATE($A$2,-12),DESCONTOS!$C$182:$BD$182,0)),0)))</x:f>
        <x:v>18</x:v>
      </x:c>
      <x:c r="J13" s="410" t="n">
        <x:f>IF($A13="","",IFERROR(INDEX(DESCONTOS!$C$3:$BD$62,MATCH($A13,DESCONTOS!$B$3:$B$62,0),MATCH(EDATE($A$2,-12),DESCONTOS!$C$2:$BD$2,0)),IFERROR(INDEX(DESCONTOS!$C$141:$BD$180,MATCH($A13,DESCONTOS!$B$141:$B$180,0),MATCH(EDATE($A$2,-12),DESCONTOS!$C$140:$BD$140,0)),0)))</x:f>
        <x:v>266.82</x:v>
      </x:c>
      <x:c r="K13" s="699" t="n">
        <x:f>IF($A13="","",IFERROR(INDEX('CADASTRO DE LOJAS'!$I$3:$I$41,MATCH($A$2,'CADASTRO DE LOJAS'!$H$3:$H$41,0)),6000))</x:f>
        <x:v>6000</x:v>
      </x:c>
      <x:c r="L13" s="701" t="str">
        <x:f>IF($A13="","",IF(D13&gt;K13,"SIM","NÃO"))</x:f>
        <x:v>SIM</x:v>
      </x:c>
    </x:row>
    <x:row r="14" ht="20" customHeight="1">
      <x:c r="A14" s="32" t="n">
        <x:f>IF('CADASTRO DE LOJAS'!E15="SIM",'CADASTRO DE LOJAS'!B15,"")</x:f>
        <x:v>12</x:v>
      </x:c>
      <x:c r="B14" s="697" t="str">
        <x:f>IF($A14="","",'CADASTRO DE LOJAS'!F15)</x:f>
        <x:v>ML12 - AMERICANA</x:v>
      </x:c>
      <x:c r="C14" s="713" t="str">
        <x:f>IF($A14="","",'CADASTRO DE LOJAS'!D15)</x:f>
        <x:v>GUARDIÕES DA LUZ</x:v>
      </x:c>
      <x:c r="D14" s="699" t="n">
        <x:f>IF($A14="","",IFERROR(INDEX(ETIQUETAS!$C$3:$AO$102,MATCH($A14,ETIQUETAS!$B$3:$B$102,0),MATCH($A$2,ETIQUETAS!$C$2:$AO$2,0)),0))</x:f>
        <x:v>6105</x:v>
      </x:c>
      <x:c r="E14" s="722" t="n">
        <x:f>IF($A14="","",IFERROR(INDEX('DIVERGÊNCIAS'!$C$3:$AO$102,MATCH($A14,'DIVERGÊNCIAS'!$B$3:$B$102,0),MATCH($A$2,'DIVERGÊNCIAS'!$C$2:$AO$2,0)),0))</x:f>
        <x:v>29</x:v>
      </x:c>
      <x:c r="F14" s="722" t="n">
        <x:f>IF($A14="","",IFERROR(INDEX('SEM PREÇO'!$C$3:$AO$102,MATCH($A14,'SEM PREÇO'!$B$3:$B$102,0),MATCH($A$2,'SEM PREÇO'!$C$2:$AO$2,0)),0))</x:f>
        <x:v>0</x:v>
      </x:c>
      <x:c r="G14" s="699" t="n">
        <x:f>IF($A14="","",IFERROR(INDEX(DESCONTOS!$C$66:$BD$125,MATCH($A14,DESCONTOS!$B$66:$B$125,0),MATCH($A$2,DESCONTOS!$C$65:$BD$65,0)),IFERROR(INDEX(DESCONTOS!$C$183:$BD$222,MATCH($A14,DESCONTOS!$B$183:$B$222,0),MATCH($A$2,DESCONTOS!$C$182:$BD$182,0)),0)))</x:f>
        <x:v>24</x:v>
      </x:c>
      <x:c r="H14" s="410" t="n">
        <x:f>IF($A14="","",IFERROR(INDEX(DESCONTOS!$C$3:$BD$62,MATCH($A14,DESCONTOS!$B$3:$B$62,0),MATCH($A$2,DESCONTOS!$C$2:$BD$2,0)),IFERROR(INDEX(DESCONTOS!$C$141:$BD$180,MATCH($A14,DESCONTOS!$B$141:$B$180,0),MATCH($A$2,DESCONTOS!$C$140:$BD$140,0)),0)))</x:f>
        <x:v>268.82</x:v>
      </x:c>
      <x:c r="I14" s="699" t="n">
        <x:f>IF($A14="","",IFERROR(INDEX(DESCONTOS!$C$66:$BD$125,MATCH($A14,DESCONTOS!$B$66:$B$125,0),MATCH(EDATE($A$2,-12),DESCONTOS!$C$65:$BD$65,0)),IFERROR(INDEX(DESCONTOS!$C$183:$BD$222,MATCH($A14,DESCONTOS!$B$183:$B$222,0),MATCH(EDATE($A$2,-12),DESCONTOS!$C$182:$BD$182,0)),0)))</x:f>
        <x:v>0</x:v>
      </x:c>
      <x:c r="J14" s="410" t="n">
        <x:f>IF($A14="","",IFERROR(INDEX(DESCONTOS!$C$3:$BD$62,MATCH($A14,DESCONTOS!$B$3:$B$62,0),MATCH(EDATE($A$2,-12),DESCONTOS!$C$2:$BD$2,0)),IFERROR(INDEX(DESCONTOS!$C$141:$BD$180,MATCH($A14,DESCONTOS!$B$141:$B$180,0),MATCH(EDATE($A$2,-12),DESCONTOS!$C$140:$BD$140,0)),0)))</x:f>
        <x:v>0</x:v>
      </x:c>
      <x:c r="K14" s="699" t="n">
        <x:f>IF($A14="","",IFERROR(INDEX('CADASTRO DE LOJAS'!$I$3:$I$41,MATCH($A$2,'CADASTRO DE LOJAS'!$H$3:$H$41,0)),6000))</x:f>
        <x:v>6000</x:v>
      </x:c>
      <x:c r="L14" s="701" t="str">
        <x:f>IF($A14="","",IF(D14&gt;K14,"SIM","NÃO"))</x:f>
        <x:v>SIM</x:v>
      </x:c>
    </x:row>
    <x:row r="15" ht="20" customHeight="1">
      <x:c r="A15" s="32" t="n">
        <x:f>IF('CADASTRO DE LOJAS'!E16="SIM",'CADASTRO DE LOJAS'!B16,"")</x:f>
        <x:v>13</x:v>
      </x:c>
      <x:c r="B15" s="697" t="str">
        <x:f>IF($A15="","",'CADASTRO DE LOJAS'!F16)</x:f>
        <x:v>ML13 - SANTA BÁRBARA</x:v>
      </x:c>
      <x:c r="C15" s="713" t="str">
        <x:f>IF($A15="","",'CADASTRO DE LOJAS'!D16)</x:f>
        <x:v>GUARDIÕES DA LUZ</x:v>
      </x:c>
      <x:c r="D15" s="699" t="n">
        <x:f>IF($A15="","",IFERROR(INDEX(ETIQUETAS!$C$3:$AO$102,MATCH($A15,ETIQUETAS!$B$3:$B$102,0),MATCH($A$2,ETIQUETAS!$C$2:$AO$2,0)),0))</x:f>
        <x:v>6013</x:v>
      </x:c>
      <x:c r="E15" s="722" t="n">
        <x:f>IF($A15="","",IFERROR(INDEX('DIVERGÊNCIAS'!$C$3:$AO$102,MATCH($A15,'DIVERGÊNCIAS'!$B$3:$B$102,0),MATCH($A$2,'DIVERGÊNCIAS'!$C$2:$AO$2,0)),0))</x:f>
        <x:v>118</x:v>
      </x:c>
      <x:c r="F15" s="722" t="n">
        <x:f>IF($A15="","",IFERROR(INDEX('SEM PREÇO'!$C$3:$AO$102,MATCH($A15,'SEM PREÇO'!$B$3:$B$102,0),MATCH($A$2,'SEM PREÇO'!$C$2:$AO$2,0)),0))</x:f>
        <x:v>956</x:v>
      </x:c>
      <x:c r="G15" s="699" t="n">
        <x:f>IF($A15="","",IFERROR(INDEX(DESCONTOS!$C$66:$BD$125,MATCH($A15,DESCONTOS!$B$66:$B$125,0),MATCH($A$2,DESCONTOS!$C$65:$BD$65,0)),IFERROR(INDEX(DESCONTOS!$C$183:$BD$222,MATCH($A15,DESCONTOS!$B$183:$B$222,0),MATCH($A$2,DESCONTOS!$C$182:$BD$182,0)),0)))</x:f>
        <x:v>47</x:v>
      </x:c>
      <x:c r="H15" s="410" t="n">
        <x:f>IF($A15="","",IFERROR(INDEX(DESCONTOS!$C$3:$BD$62,MATCH($A15,DESCONTOS!$B$3:$B$62,0),MATCH($A$2,DESCONTOS!$C$2:$BD$2,0)),IFERROR(INDEX(DESCONTOS!$C$141:$BD$180,MATCH($A15,DESCONTOS!$B$141:$B$180,0),MATCH($A$2,DESCONTOS!$C$140:$BD$140,0)),0)))</x:f>
        <x:v>349.32</x:v>
      </x:c>
      <x:c r="I15" s="699" t="n">
        <x:f>IF($A15="","",IFERROR(INDEX(DESCONTOS!$C$66:$BD$125,MATCH($A15,DESCONTOS!$B$66:$B$125,0),MATCH(EDATE($A$2,-12),DESCONTOS!$C$65:$BD$65,0)),IFERROR(INDEX(DESCONTOS!$C$183:$BD$222,MATCH($A15,DESCONTOS!$B$183:$B$222,0),MATCH(EDATE($A$2,-12),DESCONTOS!$C$182:$BD$182,0)),0)))</x:f>
        <x:v>8</x:v>
      </x:c>
      <x:c r="J15" s="410" t="n">
        <x:f>IF($A15="","",IFERROR(INDEX(DESCONTOS!$C$3:$BD$62,MATCH($A15,DESCONTOS!$B$3:$B$62,0),MATCH(EDATE($A$2,-12),DESCONTOS!$C$2:$BD$2,0)),IFERROR(INDEX(DESCONTOS!$C$141:$BD$180,MATCH($A15,DESCONTOS!$B$141:$B$180,0),MATCH(EDATE($A$2,-12),DESCONTOS!$C$140:$BD$140,0)),0)))</x:f>
        <x:v>53</x:v>
      </x:c>
      <x:c r="K15" s="699" t="n">
        <x:f>IF($A15="","",IFERROR(INDEX('CADASTRO DE LOJAS'!$I$3:$I$41,MATCH($A$2,'CADASTRO DE LOJAS'!$H$3:$H$41,0)),6000))</x:f>
        <x:v>6000</x:v>
      </x:c>
      <x:c r="L15" s="701" t="str">
        <x:f>IF($A15="","",IF(D15&gt;K15,"SIM","NÃO"))</x:f>
        <x:v>SIM</x:v>
      </x:c>
    </x:row>
    <x:row r="16" ht="20" customHeight="1">
      <x:c r="A16" s="32" t="n">
        <x:f>IF('CADASTRO DE LOJAS'!E17="SIM",'CADASTRO DE LOJAS'!B17,"")</x:f>
        <x:v>14</x:v>
      </x:c>
      <x:c r="B16" s="697" t="str">
        <x:f>IF($A16="","",'CADASTRO DE LOJAS'!F17)</x:f>
        <x:v>ML14 - PIRACICABA</x:v>
      </x:c>
      <x:c r="C16" s="713" t="str">
        <x:f>IF($A16="","",'CADASTRO DE LOJAS'!D17)</x:f>
        <x:v>RAIO BRAVO</x:v>
      </x:c>
      <x:c r="D16" s="699" t="n">
        <x:f>IF($A16="","",IFERROR(INDEX(ETIQUETAS!$C$3:$AO$102,MATCH($A16,ETIQUETAS!$B$3:$B$102,0),MATCH($A$2,ETIQUETAS!$C$2:$AO$2,0)),0))</x:f>
        <x:v>5587</x:v>
      </x:c>
      <x:c r="E16" s="722" t="n">
        <x:f>IF($A16="","",IFERROR(INDEX('DIVERGÊNCIAS'!$C$3:$AO$102,MATCH($A16,'DIVERGÊNCIAS'!$B$3:$B$102,0),MATCH($A$2,'DIVERGÊNCIAS'!$C$2:$AO$2,0)),0))</x:f>
        <x:v>9</x:v>
      </x:c>
      <x:c r="F16" s="722" t="n">
        <x:f>IF($A16="","",IFERROR(INDEX('SEM PREÇO'!$C$3:$AO$102,MATCH($A16,'SEM PREÇO'!$B$3:$B$102,0),MATCH($A$2,'SEM PREÇO'!$C$2:$AO$2,0)),0))</x:f>
        <x:v>958</x:v>
      </x:c>
      <x:c r="G16" s="699" t="n">
        <x:f>IF($A16="","",IFERROR(INDEX(DESCONTOS!$C$66:$BD$125,MATCH($A16,DESCONTOS!$B$66:$B$125,0),MATCH($A$2,DESCONTOS!$C$65:$BD$65,0)),IFERROR(INDEX(DESCONTOS!$C$183:$BD$222,MATCH($A16,DESCONTOS!$B$183:$B$222,0),MATCH($A$2,DESCONTOS!$C$182:$BD$182,0)),0)))</x:f>
        <x:v>2</x:v>
      </x:c>
      <x:c r="H16" s="410" t="n">
        <x:f>IF($A16="","",IFERROR(INDEX(DESCONTOS!$C$3:$BD$62,MATCH($A16,DESCONTOS!$B$3:$B$62,0),MATCH($A$2,DESCONTOS!$C$2:$BD$2,0)),IFERROR(INDEX(DESCONTOS!$C$141:$BD$180,MATCH($A16,DESCONTOS!$B$141:$B$180,0),MATCH($A$2,DESCONTOS!$C$140:$BD$140,0)),0)))</x:f>
        <x:v>11.2</x:v>
      </x:c>
      <x:c r="I16" s="699" t="n">
        <x:f>IF($A16="","",IFERROR(INDEX(DESCONTOS!$C$66:$BD$125,MATCH($A16,DESCONTOS!$B$66:$B$125,0),MATCH(EDATE($A$2,-12),DESCONTOS!$C$65:$BD$65,0)),IFERROR(INDEX(DESCONTOS!$C$183:$BD$222,MATCH($A16,DESCONTOS!$B$183:$B$222,0),MATCH(EDATE($A$2,-12),DESCONTOS!$C$182:$BD$182,0)),0)))</x:f>
        <x:v>11</x:v>
      </x:c>
      <x:c r="J16" s="410" t="n">
        <x:f>IF($A16="","",IFERROR(INDEX(DESCONTOS!$C$3:$BD$62,MATCH($A16,DESCONTOS!$B$3:$B$62,0),MATCH(EDATE($A$2,-12),DESCONTOS!$C$2:$BD$2,0)),IFERROR(INDEX(DESCONTOS!$C$141:$BD$180,MATCH($A16,DESCONTOS!$B$141:$B$180,0),MATCH(EDATE($A$2,-12),DESCONTOS!$C$140:$BD$140,0)),0)))</x:f>
        <x:v>154.82</x:v>
      </x:c>
      <x:c r="K16" s="699" t="n">
        <x:f>IF($A16="","",IFERROR(INDEX('CADASTRO DE LOJAS'!$I$3:$I$41,MATCH($A$2,'CADASTRO DE LOJAS'!$H$3:$H$41,0)),6000))</x:f>
        <x:v>6000</x:v>
      </x:c>
      <x:c r="L16" s="701" t="str">
        <x:f>IF($A16="","",IF(D16&gt;K16,"SIM","NÃO"))</x:f>
        <x:v>NÃO</x:v>
      </x:c>
    </x:row>
    <x:row r="17" ht="20" customHeight="1">
      <x:c r="A17" s="32" t="n">
        <x:f>IF('CADASTRO DE LOJAS'!E18="SIM",'CADASTRO DE LOJAS'!B18,"")</x:f>
        <x:v>15</x:v>
      </x:c>
      <x:c r="B17" s="697" t="str">
        <x:f>IF($A17="","",'CADASTRO DE LOJAS'!F18)</x:f>
        <x:v>ML15 - LIMEIRA</x:v>
      </x:c>
      <x:c r="C17" s="713" t="str">
        <x:f>IF($A17="","",'CADASTRO DE LOJAS'!D18)</x:f>
        <x:v>RAIO BRAVO</x:v>
      </x:c>
      <x:c r="D17" s="699" t="n">
        <x:f>IF($A17="","",IFERROR(INDEX(ETIQUETAS!$C$3:$AO$102,MATCH($A17,ETIQUETAS!$B$3:$B$102,0),MATCH($A$2,ETIQUETAS!$C$2:$AO$2,0)),0))</x:f>
        <x:v>8145</x:v>
      </x:c>
      <x:c r="E17" s="722" t="n">
        <x:f>IF($A17="","",IFERROR(INDEX('DIVERGÊNCIAS'!$C$3:$AO$102,MATCH($A17,'DIVERGÊNCIAS'!$B$3:$B$102,0),MATCH($A$2,'DIVERGÊNCIAS'!$C$2:$AO$2,0)),0))</x:f>
        <x:v>27</x:v>
      </x:c>
      <x:c r="F17" s="722" t="n">
        <x:f>IF($A17="","",IFERROR(INDEX('SEM PREÇO'!$C$3:$AO$102,MATCH($A17,'SEM PREÇO'!$B$3:$B$102,0),MATCH($A$2,'SEM PREÇO'!$C$2:$AO$2,0)),0))</x:f>
        <x:v>13</x:v>
      </x:c>
      <x:c r="G17" s="699" t="n">
        <x:f>IF($A17="","",IFERROR(INDEX(DESCONTOS!$C$66:$BD$125,MATCH($A17,DESCONTOS!$B$66:$B$125,0),MATCH($A$2,DESCONTOS!$C$65:$BD$65,0)),IFERROR(INDEX(DESCONTOS!$C$183:$BD$222,MATCH($A17,DESCONTOS!$B$183:$B$222,0),MATCH($A$2,DESCONTOS!$C$182:$BD$182,0)),0)))</x:f>
        <x:v>43</x:v>
      </x:c>
      <x:c r="H17" s="410" t="n">
        <x:f>IF($A17="","",IFERROR(INDEX(DESCONTOS!$C$3:$BD$62,MATCH($A17,DESCONTOS!$B$3:$B$62,0),MATCH($A$2,DESCONTOS!$C$2:$BD$2,0)),IFERROR(INDEX(DESCONTOS!$C$141:$BD$180,MATCH($A17,DESCONTOS!$B$141:$B$180,0),MATCH($A$2,DESCONTOS!$C$140:$BD$140,0)),0)))</x:f>
        <x:v>388.99</x:v>
      </x:c>
      <x:c r="I17" s="699" t="n">
        <x:f>IF($A17="","",IFERROR(INDEX(DESCONTOS!$C$66:$BD$125,MATCH($A17,DESCONTOS!$B$66:$B$125,0),MATCH(EDATE($A$2,-12),DESCONTOS!$C$65:$BD$65,0)),IFERROR(INDEX(DESCONTOS!$C$183:$BD$222,MATCH($A17,DESCONTOS!$B$183:$B$222,0),MATCH(EDATE($A$2,-12),DESCONTOS!$C$182:$BD$182,0)),0)))</x:f>
        <x:v>16</x:v>
      </x:c>
      <x:c r="J17" s="410" t="n">
        <x:f>IF($A17="","",IFERROR(INDEX(DESCONTOS!$C$3:$BD$62,MATCH($A17,DESCONTOS!$B$3:$B$62,0),MATCH(EDATE($A$2,-12),DESCONTOS!$C$2:$BD$2,0)),IFERROR(INDEX(DESCONTOS!$C$141:$BD$180,MATCH($A17,DESCONTOS!$B$141:$B$180,0),MATCH(EDATE($A$2,-12),DESCONTOS!$C$140:$BD$140,0)),0)))</x:f>
        <x:v>189.1</x:v>
      </x:c>
      <x:c r="K17" s="699" t="n">
        <x:f>IF($A17="","",IFERROR(INDEX('CADASTRO DE LOJAS'!$I$3:$I$41,MATCH($A$2,'CADASTRO DE LOJAS'!$H$3:$H$41,0)),6000))</x:f>
        <x:v>6000</x:v>
      </x:c>
      <x:c r="L17" s="701" t="str">
        <x:f>IF($A17="","",IF(D17&gt;K17,"SIM","NÃO"))</x:f>
        <x:v>SIM</x:v>
      </x:c>
    </x:row>
    <x:row r="18" ht="20" customHeight="1">
      <x:c r="A18" s="32" t="n">
        <x:f>IF('CADASTRO DE LOJAS'!E19="SIM",'CADASTRO DE LOJAS'!B19,"")</x:f>
        <x:v>16</x:v>
      </x:c>
      <x:c r="B18" s="697" t="str">
        <x:f>IF($A18="","",'CADASTRO DE LOJAS'!F19)</x:f>
        <x:v>ML16 - COSMÓPOLIS</x:v>
      </x:c>
      <x:c r="C18" s="713" t="str">
        <x:f>IF($A18="","",'CADASTRO DE LOJAS'!D19)</x:f>
        <x:v>GUARDIÕES DA LUZ</x:v>
      </x:c>
      <x:c r="D18" s="699" t="n">
        <x:f>IF($A18="","",IFERROR(INDEX(ETIQUETAS!$C$3:$AO$102,MATCH($A18,ETIQUETAS!$B$3:$B$102,0),MATCH($A$2,ETIQUETAS!$C$2:$AO$2,0)),0))</x:f>
        <x:v>6097</x:v>
      </x:c>
      <x:c r="E18" s="722" t="n">
        <x:f>IF($A18="","",IFERROR(INDEX('DIVERGÊNCIAS'!$C$3:$AO$102,MATCH($A18,'DIVERGÊNCIAS'!$B$3:$B$102,0),MATCH($A$2,'DIVERGÊNCIAS'!$C$2:$AO$2,0)),0))</x:f>
        <x:v>28</x:v>
      </x:c>
      <x:c r="F18" s="722" t="n">
        <x:f>IF($A18="","",IFERROR(INDEX('SEM PREÇO'!$C$3:$AO$102,MATCH($A18,'SEM PREÇO'!$B$3:$B$102,0),MATCH($A$2,'SEM PREÇO'!$C$2:$AO$2,0)),0))</x:f>
        <x:v>69</x:v>
      </x:c>
      <x:c r="G18" s="699" t="n">
        <x:f>IF($A18="","",IFERROR(INDEX(DESCONTOS!$C$66:$BD$125,MATCH($A18,DESCONTOS!$B$66:$B$125,0),MATCH($A$2,DESCONTOS!$C$65:$BD$65,0)),IFERROR(INDEX(DESCONTOS!$C$183:$BD$222,MATCH($A18,DESCONTOS!$B$183:$B$222,0),MATCH($A$2,DESCONTOS!$C$182:$BD$182,0)),0)))</x:f>
        <x:v>53</x:v>
      </x:c>
      <x:c r="H18" s="410" t="n">
        <x:f>IF($A18="","",IFERROR(INDEX(DESCONTOS!$C$3:$BD$62,MATCH($A18,DESCONTOS!$B$3:$B$62,0),MATCH($A$2,DESCONTOS!$C$2:$BD$2,0)),IFERROR(INDEX(DESCONTOS!$C$141:$BD$180,MATCH($A18,DESCONTOS!$B$141:$B$180,0),MATCH($A$2,DESCONTOS!$C$140:$BD$140,0)),0)))</x:f>
        <x:v>383.32</x:v>
      </x:c>
      <x:c r="I18" s="699" t="n">
        <x:f>IF($A18="","",IFERROR(INDEX(DESCONTOS!$C$66:$BD$125,MATCH($A18,DESCONTOS!$B$66:$B$125,0),MATCH(EDATE($A$2,-12),DESCONTOS!$C$65:$BD$65,0)),IFERROR(INDEX(DESCONTOS!$C$183:$BD$222,MATCH($A18,DESCONTOS!$B$183:$B$222,0),MATCH(EDATE($A$2,-12),DESCONTOS!$C$182:$BD$182,0)),0)))</x:f>
        <x:v>1</x:v>
      </x:c>
      <x:c r="J18" s="410" t="n">
        <x:f>IF($A18="","",IFERROR(INDEX(DESCONTOS!$C$3:$BD$62,MATCH($A18,DESCONTOS!$B$3:$B$62,0),MATCH(EDATE($A$2,-12),DESCONTOS!$C$2:$BD$2,0)),IFERROR(INDEX(DESCONTOS!$C$141:$BD$180,MATCH($A18,DESCONTOS!$B$141:$B$180,0),MATCH(EDATE($A$2,-12),DESCONTOS!$C$140:$BD$140,0)),0)))</x:f>
        <x:v>39</x:v>
      </x:c>
      <x:c r="K18" s="699" t="n">
        <x:f>IF($A18="","",IFERROR(INDEX('CADASTRO DE LOJAS'!$I$3:$I$41,MATCH($A$2,'CADASTRO DE LOJAS'!$H$3:$H$41,0)),6000))</x:f>
        <x:v>6000</x:v>
      </x:c>
      <x:c r="L18" s="701" t="str">
        <x:f>IF($A18="","",IF(D18&gt;K18,"SIM","NÃO"))</x:f>
        <x:v>SIM</x:v>
      </x:c>
    </x:row>
    <x:row r="19" ht="20" customHeight="1">
      <x:c r="A19" s="32" t="n">
        <x:f>IF('CADASTRO DE LOJAS'!E20="SIM",'CADASTRO DE LOJAS'!B20,"")</x:f>
        <x:v>17</x:v>
      </x:c>
      <x:c r="B19" s="697" t="str">
        <x:f>IF($A19="","",'CADASTRO DE LOJAS'!F20)</x:f>
        <x:v>ML17 - SOROCABA ESPLANADA</x:v>
      </x:c>
      <x:c r="C19" s="713" t="str">
        <x:f>IF($A19="","",'CADASTRO DE LOJAS'!D20)</x:f>
        <x:v>RAÍZES DO LAR</x:v>
      </x:c>
      <x:c r="D19" s="699" t="n">
        <x:f>IF($A19="","",IFERROR(INDEX(ETIQUETAS!$C$3:$AO$102,MATCH($A19,ETIQUETAS!$B$3:$B$102,0),MATCH($A$2,ETIQUETAS!$C$2:$AO$2,0)),0))</x:f>
        <x:v>15732</x:v>
      </x:c>
      <x:c r="E19" s="722" t="n">
        <x:f>IF($A19="","",IFERROR(INDEX('DIVERGÊNCIAS'!$C$3:$AO$102,MATCH($A19,'DIVERGÊNCIAS'!$B$3:$B$102,0),MATCH($A$2,'DIVERGÊNCIAS'!$C$2:$AO$2,0)),0))</x:f>
        <x:v>80</x:v>
      </x:c>
      <x:c r="F19" s="722" t="n">
        <x:f>IF($A19="","",IFERROR(INDEX('SEM PREÇO'!$C$3:$AO$102,MATCH($A19,'SEM PREÇO'!$B$3:$B$102,0),MATCH($A$2,'SEM PREÇO'!$C$2:$AO$2,0)),0))</x:f>
        <x:v>294</x:v>
      </x:c>
      <x:c r="G19" s="699" t="n">
        <x:f>IF($A19="","",IFERROR(INDEX(DESCONTOS!$C$66:$BD$125,MATCH($A19,DESCONTOS!$B$66:$B$125,0),MATCH($A$2,DESCONTOS!$C$65:$BD$65,0)),IFERROR(INDEX(DESCONTOS!$C$183:$BD$222,MATCH($A19,DESCONTOS!$B$183:$B$222,0),MATCH($A$2,DESCONTOS!$C$182:$BD$182,0)),0)))</x:f>
        <x:v>10</x:v>
      </x:c>
      <x:c r="H19" s="410" t="n">
        <x:f>IF($A19="","",IFERROR(INDEX(DESCONTOS!$C$3:$BD$62,MATCH($A19,DESCONTOS!$B$3:$B$62,0),MATCH($A$2,DESCONTOS!$C$2:$BD$2,0)),IFERROR(INDEX(DESCONTOS!$C$141:$BD$180,MATCH($A19,DESCONTOS!$B$141:$B$180,0),MATCH($A$2,DESCONTOS!$C$140:$BD$140,0)),0)))</x:f>
        <x:v>48.12</x:v>
      </x:c>
      <x:c r="I19" s="699" t="n">
        <x:f>IF($A19="","",IFERROR(INDEX(DESCONTOS!$C$66:$BD$125,MATCH($A19,DESCONTOS!$B$66:$B$125,0),MATCH(EDATE($A$2,-12),DESCONTOS!$C$65:$BD$65,0)),IFERROR(INDEX(DESCONTOS!$C$183:$BD$222,MATCH($A19,DESCONTOS!$B$183:$B$222,0),MATCH(EDATE($A$2,-12),DESCONTOS!$C$182:$BD$182,0)),0)))</x:f>
        <x:v>25</x:v>
      </x:c>
      <x:c r="J19" s="410" t="n">
        <x:f>IF($A19="","",IFERROR(INDEX(DESCONTOS!$C$3:$BD$62,MATCH($A19,DESCONTOS!$B$3:$B$62,0),MATCH(EDATE($A$2,-12),DESCONTOS!$C$2:$BD$2,0)),IFERROR(INDEX(DESCONTOS!$C$141:$BD$180,MATCH($A19,DESCONTOS!$B$141:$B$180,0),MATCH(EDATE($A$2,-12),DESCONTOS!$C$140:$BD$140,0)),0)))</x:f>
        <x:v>164.5</x:v>
      </x:c>
      <x:c r="K19" s="699" t="n">
        <x:f>IF($A19="","",IFERROR(INDEX('CADASTRO DE LOJAS'!$I$3:$I$41,MATCH($A$2,'CADASTRO DE LOJAS'!$H$3:$H$41,0)),6000))</x:f>
        <x:v>6000</x:v>
      </x:c>
      <x:c r="L19" s="701" t="str">
        <x:f>IF($A19="","",IF(D19&gt;K19,"SIM","NÃO"))</x:f>
        <x:v>SIM</x:v>
      </x:c>
    </x:row>
    <x:row r="20" ht="20" customHeight="1">
      <x:c r="A20" s="32" t="n">
        <x:f>IF('CADASTRO DE LOJAS'!E21="SIM",'CADASTRO DE LOJAS'!B21,"")</x:f>
        <x:v>18</x:v>
      </x:c>
      <x:c r="B20" s="697" t="str">
        <x:f>IF($A20="","",'CADASTRO DE LOJAS'!F21)</x:f>
        <x:v>ML18 - ARARAQUARA AV 36</x:v>
      </x:c>
      <x:c r="C20" s="713" t="str">
        <x:f>IF($A20="","",'CADASTRO DE LOJAS'!D21)</x:f>
        <x:v>RAIO BRAVO</x:v>
      </x:c>
      <x:c r="D20" s="699" t="n">
        <x:f>IF($A20="","",IFERROR(INDEX(ETIQUETAS!$C$3:$AO$102,MATCH($A20,ETIQUETAS!$B$3:$B$102,0),MATCH($A$2,ETIQUETAS!$C$2:$AO$2,0)),0))</x:f>
        <x:v>1482</x:v>
      </x:c>
      <x:c r="E20" s="722" t="n">
        <x:f>IF($A20="","",IFERROR(INDEX('DIVERGÊNCIAS'!$C$3:$AO$102,MATCH($A20,'DIVERGÊNCIAS'!$B$3:$B$102,0),MATCH($A$2,'DIVERGÊNCIAS'!$C$2:$AO$2,0)),0))</x:f>
        <x:v>52</x:v>
      </x:c>
      <x:c r="F20" s="722" t="n">
        <x:f>IF($A20="","",IFERROR(INDEX('SEM PREÇO'!$C$3:$AO$102,MATCH($A20,'SEM PREÇO'!$B$3:$B$102,0),MATCH($A$2,'SEM PREÇO'!$C$2:$AO$2,0)),0))</x:f>
        <x:v>51</x:v>
      </x:c>
      <x:c r="G20" s="699" t="n">
        <x:f>IF($A20="","",IFERROR(INDEX(DESCONTOS!$C$66:$BD$125,MATCH($A20,DESCONTOS!$B$66:$B$125,0),MATCH($A$2,DESCONTOS!$C$65:$BD$65,0)),IFERROR(INDEX(DESCONTOS!$C$183:$BD$222,MATCH($A20,DESCONTOS!$B$183:$B$222,0),MATCH($A$2,DESCONTOS!$C$182:$BD$182,0)),0)))</x:f>
        <x:v>134</x:v>
      </x:c>
      <x:c r="H20" s="410" t="n">
        <x:f>IF($A20="","",IFERROR(INDEX(DESCONTOS!$C$3:$BD$62,MATCH($A20,DESCONTOS!$B$3:$B$62,0),MATCH($A$2,DESCONTOS!$C$2:$BD$2,0)),IFERROR(INDEX(DESCONTOS!$C$141:$BD$180,MATCH($A20,DESCONTOS!$B$141:$B$180,0),MATCH($A$2,DESCONTOS!$C$140:$BD$140,0)),0)))</x:f>
        <x:v>1516.1</x:v>
      </x:c>
      <x:c r="I20" s="699" t="n">
        <x:f>IF($A20="","",IFERROR(INDEX(DESCONTOS!$C$66:$BD$125,MATCH($A20,DESCONTOS!$B$66:$B$125,0),MATCH(EDATE($A$2,-12),DESCONTOS!$C$65:$BD$65,0)),IFERROR(INDEX(DESCONTOS!$C$183:$BD$222,MATCH($A20,DESCONTOS!$B$183:$B$222,0),MATCH(EDATE($A$2,-12),DESCONTOS!$C$182:$BD$182,0)),0)))</x:f>
        <x:v>19</x:v>
      </x:c>
      <x:c r="J20" s="410" t="n">
        <x:f>IF($A20="","",IFERROR(INDEX(DESCONTOS!$C$3:$BD$62,MATCH($A20,DESCONTOS!$B$3:$B$62,0),MATCH(EDATE($A$2,-12),DESCONTOS!$C$2:$BD$2,0)),IFERROR(INDEX(DESCONTOS!$C$141:$BD$180,MATCH($A20,DESCONTOS!$B$141:$B$180,0),MATCH(EDATE($A$2,-12),DESCONTOS!$C$140:$BD$140,0)),0)))</x:f>
        <x:v>220</x:v>
      </x:c>
      <x:c r="K20" s="699" t="n">
        <x:f>IF($A20="","",IFERROR(INDEX('CADASTRO DE LOJAS'!$I$3:$I$41,MATCH($A$2,'CADASTRO DE LOJAS'!$H$3:$H$41,0)),6000))</x:f>
        <x:v>6000</x:v>
      </x:c>
      <x:c r="L20" s="701" t="str">
        <x:f>IF($A20="","",IF(D20&gt;K20,"SIM","NÃO"))</x:f>
        <x:v>NÃO</x:v>
      </x:c>
    </x:row>
    <x:row r="21" ht="20" customHeight="1">
      <x:c r="A21" s="32" t="n">
        <x:f>IF('CADASTRO DE LOJAS'!E22="SIM",'CADASTRO DE LOJAS'!B22,"")</x:f>
        <x:v>19</x:v>
      </x:c>
      <x:c r="B21" s="697" t="str">
        <x:f>IF($A21="","",'CADASTRO DE LOJAS'!F22)</x:f>
        <x:v>ML19 - SÃO CARLOS</x:v>
      </x:c>
      <x:c r="C21" s="713" t="str">
        <x:f>IF($A21="","",'CADASTRO DE LOJAS'!D22)</x:f>
        <x:v>RAIO BRAVO</x:v>
      </x:c>
      <x:c r="D21" s="699" t="n">
        <x:f>IF($A21="","",IFERROR(INDEX(ETIQUETAS!$C$3:$AO$102,MATCH($A21,ETIQUETAS!$B$3:$B$102,0),MATCH($A$2,ETIQUETAS!$C$2:$AO$2,0)),0))</x:f>
        <x:v>9442</x:v>
      </x:c>
      <x:c r="E21" s="722" t="n">
        <x:f>IF($A21="","",IFERROR(INDEX('DIVERGÊNCIAS'!$C$3:$AO$102,MATCH($A21,'DIVERGÊNCIAS'!$B$3:$B$102,0),MATCH($A$2,'DIVERGÊNCIAS'!$C$2:$AO$2,0)),0))</x:f>
        <x:v>35</x:v>
      </x:c>
      <x:c r="F21" s="722" t="n">
        <x:f>IF($A21="","",IFERROR(INDEX('SEM PREÇO'!$C$3:$AO$102,MATCH($A21,'SEM PREÇO'!$B$3:$B$102,0),MATCH($A$2,'SEM PREÇO'!$C$2:$AO$2,0)),0))</x:f>
        <x:v>267</x:v>
      </x:c>
      <x:c r="G21" s="699" t="n">
        <x:f>IF($A21="","",IFERROR(INDEX(DESCONTOS!$C$66:$BD$125,MATCH($A21,DESCONTOS!$B$66:$B$125,0),MATCH($A$2,DESCONTOS!$C$65:$BD$65,0)),IFERROR(INDEX(DESCONTOS!$C$183:$BD$222,MATCH($A21,DESCONTOS!$B$183:$B$222,0),MATCH($A$2,DESCONTOS!$C$182:$BD$182,0)),0)))</x:f>
        <x:v>49</x:v>
      </x:c>
      <x:c r="H21" s="410" t="n">
        <x:f>IF($A21="","",IFERROR(INDEX(DESCONTOS!$C$3:$BD$62,MATCH($A21,DESCONTOS!$B$3:$B$62,0),MATCH($A$2,DESCONTOS!$C$2:$BD$2,0)),IFERROR(INDEX(DESCONTOS!$C$141:$BD$180,MATCH($A21,DESCONTOS!$B$141:$B$180,0),MATCH($A$2,DESCONTOS!$C$140:$BD$140,0)),0)))</x:f>
        <x:v>601.56</x:v>
      </x:c>
      <x:c r="I21" s="699" t="n">
        <x:f>IF($A21="","",IFERROR(INDEX(DESCONTOS!$C$66:$BD$125,MATCH($A21,DESCONTOS!$B$66:$B$125,0),MATCH(EDATE($A$2,-12),DESCONTOS!$C$65:$BD$65,0)),IFERROR(INDEX(DESCONTOS!$C$183:$BD$222,MATCH($A21,DESCONTOS!$B$183:$B$222,0),MATCH(EDATE($A$2,-12),DESCONTOS!$C$182:$BD$182,0)),0)))</x:f>
        <x:v>17</x:v>
      </x:c>
      <x:c r="J21" s="410" t="n">
        <x:f>IF($A21="","",IFERROR(INDEX(DESCONTOS!$C$3:$BD$62,MATCH($A21,DESCONTOS!$B$3:$B$62,0),MATCH(EDATE($A$2,-12),DESCONTOS!$C$2:$BD$2,0)),IFERROR(INDEX(DESCONTOS!$C$141:$BD$180,MATCH($A21,DESCONTOS!$B$141:$B$180,0),MATCH(EDATE($A$2,-12),DESCONTOS!$C$140:$BD$140,0)),0)))</x:f>
        <x:v>187.31</x:v>
      </x:c>
      <x:c r="K21" s="699" t="n">
        <x:f>IF($A21="","",IFERROR(INDEX('CADASTRO DE LOJAS'!$I$3:$I$41,MATCH($A$2,'CADASTRO DE LOJAS'!$H$3:$H$41,0)),6000))</x:f>
        <x:v>6000</x:v>
      </x:c>
      <x:c r="L21" s="701" t="str">
        <x:f>IF($A21="","",IF(D21&gt;K21,"SIM","NÃO"))</x:f>
        <x:v>SIM</x:v>
      </x:c>
    </x:row>
    <x:row r="22" ht="20" customHeight="1">
      <x:c r="A22" s="32" t="n">
        <x:f>IF('CADASTRO DE LOJAS'!E23="SIM",'CADASTRO DE LOJAS'!B23,"")</x:f>
        <x:v>20</x:v>
      </x:c>
      <x:c r="B22" s="697" t="str">
        <x:f>IF($A22="","",'CADASTRO DE LOJAS'!F23)</x:f>
        <x:v>ML20 - VALINHOS</x:v>
      </x:c>
      <x:c r="C22" s="713" t="str">
        <x:f>IF($A22="","",'CADASTRO DE LOJAS'!D23)</x:f>
        <x:v>GUARDIÕES DA CHAMA</x:v>
      </x:c>
      <x:c r="D22" s="699" t="n">
        <x:f>IF($A22="","",IFERROR(INDEX(ETIQUETAS!$C$3:$AO$102,MATCH($A22,ETIQUETAS!$B$3:$B$102,0),MATCH($A$2,ETIQUETAS!$C$2:$AO$2,0)),0))</x:f>
        <x:v>7356</x:v>
      </x:c>
      <x:c r="E22" s="722" t="n">
        <x:f>IF($A22="","",IFERROR(INDEX('DIVERGÊNCIAS'!$C$3:$AO$102,MATCH($A22,'DIVERGÊNCIAS'!$B$3:$B$102,0),MATCH($A$2,'DIVERGÊNCIAS'!$C$2:$AO$2,0)),0))</x:f>
        <x:v>68</x:v>
      </x:c>
      <x:c r="F22" s="722" t="n">
        <x:f>IF($A22="","",IFERROR(INDEX('SEM PREÇO'!$C$3:$AO$102,MATCH($A22,'SEM PREÇO'!$B$3:$B$102,0),MATCH($A$2,'SEM PREÇO'!$C$2:$AO$2,0)),0))</x:f>
        <x:v>73</x:v>
      </x:c>
      <x:c r="G22" s="699" t="n">
        <x:f>IF($A22="","",IFERROR(INDEX(DESCONTOS!$C$66:$BD$125,MATCH($A22,DESCONTOS!$B$66:$B$125,0),MATCH($A$2,DESCONTOS!$C$65:$BD$65,0)),IFERROR(INDEX(DESCONTOS!$C$183:$BD$222,MATCH($A22,DESCONTOS!$B$183:$B$222,0),MATCH($A$2,DESCONTOS!$C$182:$BD$182,0)),0)))</x:f>
        <x:v>103</x:v>
      </x:c>
      <x:c r="H22" s="410" t="n">
        <x:f>IF($A22="","",IFERROR(INDEX(DESCONTOS!$C$3:$BD$62,MATCH($A22,DESCONTOS!$B$3:$B$62,0),MATCH($A$2,DESCONTOS!$C$2:$BD$2,0)),IFERROR(INDEX(DESCONTOS!$C$141:$BD$180,MATCH($A22,DESCONTOS!$B$141:$B$180,0),MATCH($A$2,DESCONTOS!$C$140:$BD$140,0)),0)))</x:f>
        <x:v>891.79</x:v>
      </x:c>
      <x:c r="I22" s="699" t="n">
        <x:f>IF($A22="","",IFERROR(INDEX(DESCONTOS!$C$66:$BD$125,MATCH($A22,DESCONTOS!$B$66:$B$125,0),MATCH(EDATE($A$2,-12),DESCONTOS!$C$65:$BD$65,0)),IFERROR(INDEX(DESCONTOS!$C$183:$BD$222,MATCH($A22,DESCONTOS!$B$183:$B$222,0),MATCH(EDATE($A$2,-12),DESCONTOS!$C$182:$BD$182,0)),0)))</x:f>
        <x:v>5</x:v>
      </x:c>
      <x:c r="J22" s="410" t="n">
        <x:f>IF($A22="","",IFERROR(INDEX(DESCONTOS!$C$3:$BD$62,MATCH($A22,DESCONTOS!$B$3:$B$62,0),MATCH(EDATE($A$2,-12),DESCONTOS!$C$2:$BD$2,0)),IFERROR(INDEX(DESCONTOS!$C$141:$BD$180,MATCH($A22,DESCONTOS!$B$141:$B$180,0),MATCH(EDATE($A$2,-12),DESCONTOS!$C$140:$BD$140,0)),0)))</x:f>
        <x:v>52.5</x:v>
      </x:c>
      <x:c r="K22" s="699" t="n">
        <x:f>IF($A22="","",IFERROR(INDEX('CADASTRO DE LOJAS'!$I$3:$I$41,MATCH($A$2,'CADASTRO DE LOJAS'!$H$3:$H$41,0)),6000))</x:f>
        <x:v>6000</x:v>
      </x:c>
      <x:c r="L22" s="701" t="str">
        <x:f>IF($A22="","",IF(D22&gt;K22,"SIM","NÃO"))</x:f>
        <x:v>SIM</x:v>
      </x:c>
    </x:row>
    <x:row r="23" ht="20" customHeight="1">
      <x:c r="A23" s="32" t="n">
        <x:f>IF('CADASTRO DE LOJAS'!E24="SIM",'CADASTRO DE LOJAS'!B24,"")</x:f>
        <x:v>21</x:v>
      </x:c>
      <x:c r="B23" s="697" t="str">
        <x:f>IF($A23="","",'CADASTRO DE LOJAS'!F24)</x:f>
        <x:v>ML21 - SERTÃOZINHO</x:v>
      </x:c>
      <x:c r="C23" s="713" t="str">
        <x:f>IF($A23="","",'CADASTRO DE LOJAS'!D24)</x:f>
        <x:v>VENTO DOURADO</x:v>
      </x:c>
      <x:c r="D23" s="699" t="n">
        <x:f>IF($A23="","",IFERROR(INDEX(ETIQUETAS!$C$3:$AO$102,MATCH($A23,ETIQUETAS!$B$3:$B$102,0),MATCH($A$2,ETIQUETAS!$C$2:$AO$2,0)),0))</x:f>
        <x:v>0</x:v>
      </x:c>
      <x:c r="E23" s="722" t="n">
        <x:f>IF($A23="","",IFERROR(INDEX('DIVERGÊNCIAS'!$C$3:$AO$102,MATCH($A23,'DIVERGÊNCIAS'!$B$3:$B$102,0),MATCH($A$2,'DIVERGÊNCIAS'!$C$2:$AO$2,0)),0))</x:f>
        <x:v>0</x:v>
      </x:c>
      <x:c r="F23" s="722" t="n">
        <x:f>IF($A23="","",IFERROR(INDEX('SEM PREÇO'!$C$3:$AO$102,MATCH($A23,'SEM PREÇO'!$B$3:$B$102,0),MATCH($A$2,'SEM PREÇO'!$C$2:$AO$2,0)),0))</x:f>
        <x:v>0</x:v>
      </x:c>
      <x:c r="G23" s="699" t="n">
        <x:f>IF($A23="","",IFERROR(INDEX(DESCONTOS!$C$66:$BD$125,MATCH($A23,DESCONTOS!$B$66:$B$125,0),MATCH($A$2,DESCONTOS!$C$65:$BD$65,0)),IFERROR(INDEX(DESCONTOS!$C$183:$BD$222,MATCH($A23,DESCONTOS!$B$183:$B$222,0),MATCH($A$2,DESCONTOS!$C$182:$BD$182,0)),0)))</x:f>
        <x:v>16</x:v>
      </x:c>
      <x:c r="H23" s="410" t="n">
        <x:f>IF($A23="","",IFERROR(INDEX(DESCONTOS!$C$3:$BD$62,MATCH($A23,DESCONTOS!$B$3:$B$62,0),MATCH($A$2,DESCONTOS!$C$2:$BD$2,0)),IFERROR(INDEX(DESCONTOS!$C$141:$BD$180,MATCH($A23,DESCONTOS!$B$141:$B$180,0),MATCH($A$2,DESCONTOS!$C$140:$BD$140,0)),0)))</x:f>
        <x:v>317.54</x:v>
      </x:c>
      <x:c r="I23" s="699" t="n">
        <x:f>IF($A23="","",IFERROR(INDEX(DESCONTOS!$C$66:$BD$125,MATCH($A23,DESCONTOS!$B$66:$B$125,0),MATCH(EDATE($A$2,-12),DESCONTOS!$C$65:$BD$65,0)),IFERROR(INDEX(DESCONTOS!$C$183:$BD$222,MATCH($A23,DESCONTOS!$B$183:$B$222,0),MATCH(EDATE($A$2,-12),DESCONTOS!$C$182:$BD$182,0)),0)))</x:f>
        <x:v>5</x:v>
      </x:c>
      <x:c r="J23" s="410" t="n">
        <x:f>IF($A23="","",IFERROR(INDEX(DESCONTOS!$C$3:$BD$62,MATCH($A23,DESCONTOS!$B$3:$B$62,0),MATCH(EDATE($A$2,-12),DESCONTOS!$C$2:$BD$2,0)),IFERROR(INDEX(DESCONTOS!$C$141:$BD$180,MATCH($A23,DESCONTOS!$B$141:$B$180,0),MATCH(EDATE($A$2,-12),DESCONTOS!$C$140:$BD$140,0)),0)))</x:f>
        <x:v>80</x:v>
      </x:c>
      <x:c r="K23" s="699" t="n">
        <x:f>IF($A23="","",IFERROR(INDEX('CADASTRO DE LOJAS'!$I$3:$I$41,MATCH($A$2,'CADASTRO DE LOJAS'!$H$3:$H$41,0)),6000))</x:f>
        <x:v>6000</x:v>
      </x:c>
      <x:c r="L23" s="701" t="str">
        <x:f>IF($A23="","",IF(D23&gt;K23,"SIM","NÃO"))</x:f>
        <x:v>NÃO</x:v>
      </x:c>
    </x:row>
    <x:row r="24" ht="20" customHeight="1">
      <x:c r="A24" s="32" t="n">
        <x:f>IF('CADASTRO DE LOJAS'!E25="SIM",'CADASTRO DE LOJAS'!B25,"")</x:f>
        <x:v>22</x:v>
      </x:c>
      <x:c r="B24" s="697" t="str">
        <x:f>IF($A24="","",'CADASTRO DE LOJAS'!F25)</x:f>
        <x:v>ML22 - RIBEIRÃO AMIN CALIL</x:v>
      </x:c>
      <x:c r="C24" s="713" t="str">
        <x:f>IF($A24="","",'CADASTRO DE LOJAS'!D25)</x:f>
        <x:v>VENTO DOURADO</x:v>
      </x:c>
      <x:c r="D24" s="699" t="n">
        <x:f>IF($A24="","",IFERROR(INDEX(ETIQUETAS!$C$3:$AO$102,MATCH($A24,ETIQUETAS!$B$3:$B$102,0),MATCH($A$2,ETIQUETAS!$C$2:$AO$2,0)),0))</x:f>
        <x:v>5860</x:v>
      </x:c>
      <x:c r="E24" s="722" t="n">
        <x:f>IF($A24="","",IFERROR(INDEX('DIVERGÊNCIAS'!$C$3:$AO$102,MATCH($A24,'DIVERGÊNCIAS'!$B$3:$B$102,0),MATCH($A$2,'DIVERGÊNCIAS'!$C$2:$AO$2,0)),0))</x:f>
        <x:v>62</x:v>
      </x:c>
      <x:c r="F24" s="722" t="n">
        <x:f>IF($A24="","",IFERROR(INDEX('SEM PREÇO'!$C$3:$AO$102,MATCH($A24,'SEM PREÇO'!$B$3:$B$102,0),MATCH($A$2,'SEM PREÇO'!$C$2:$AO$2,0)),0))</x:f>
        <x:v>245</x:v>
      </x:c>
      <x:c r="G24" s="699" t="n">
        <x:f>IF($A24="","",IFERROR(INDEX(DESCONTOS!$C$66:$BD$125,MATCH($A24,DESCONTOS!$B$66:$B$125,0),MATCH($A$2,DESCONTOS!$C$65:$BD$65,0)),IFERROR(INDEX(DESCONTOS!$C$183:$BD$222,MATCH($A24,DESCONTOS!$B$183:$B$222,0),MATCH($A$2,DESCONTOS!$C$182:$BD$182,0)),0)))</x:f>
        <x:v>47</x:v>
      </x:c>
      <x:c r="H24" s="410" t="n">
        <x:f>IF($A24="","",IFERROR(INDEX(DESCONTOS!$C$3:$BD$62,MATCH($A24,DESCONTOS!$B$3:$B$62,0),MATCH($A$2,DESCONTOS!$C$2:$BD$2,0)),IFERROR(INDEX(DESCONTOS!$C$141:$BD$180,MATCH($A24,DESCONTOS!$B$141:$B$180,0),MATCH($A$2,DESCONTOS!$C$140:$BD$140,0)),0)))</x:f>
        <x:v>467.73</x:v>
      </x:c>
      <x:c r="I24" s="699" t="n">
        <x:f>IF($A24="","",IFERROR(INDEX(DESCONTOS!$C$66:$BD$125,MATCH($A24,DESCONTOS!$B$66:$B$125,0),MATCH(EDATE($A$2,-12),DESCONTOS!$C$65:$BD$65,0)),IFERROR(INDEX(DESCONTOS!$C$183:$BD$222,MATCH($A24,DESCONTOS!$B$183:$B$222,0),MATCH(EDATE($A$2,-12),DESCONTOS!$C$182:$BD$182,0)),0)))</x:f>
        <x:v>12</x:v>
      </x:c>
      <x:c r="J24" s="410" t="n">
        <x:f>IF($A24="","",IFERROR(INDEX(DESCONTOS!$C$3:$BD$62,MATCH($A24,DESCONTOS!$B$3:$B$62,0),MATCH(EDATE($A$2,-12),DESCONTOS!$C$2:$BD$2,0)),IFERROR(INDEX(DESCONTOS!$C$141:$BD$180,MATCH($A24,DESCONTOS!$B$141:$B$180,0),MATCH(EDATE($A$2,-12),DESCONTOS!$C$140:$BD$140,0)),0)))</x:f>
        <x:v>200.13</x:v>
      </x:c>
      <x:c r="K24" s="699" t="n">
        <x:f>IF($A24="","",IFERROR(INDEX('CADASTRO DE LOJAS'!$I$3:$I$41,MATCH($A$2,'CADASTRO DE LOJAS'!$H$3:$H$41,0)),6000))</x:f>
        <x:v>6000</x:v>
      </x:c>
      <x:c r="L24" s="701" t="str">
        <x:f>IF($A24="","",IF(D24&gt;K24,"SIM","NÃO"))</x:f>
        <x:v>NÃO</x:v>
      </x:c>
    </x:row>
    <x:row r="25" ht="20" customHeight="1">
      <x:c r="A25" s="32" t="n">
        <x:f>IF('CADASTRO DE LOJAS'!E26="SIM",'CADASTRO DE LOJAS'!B26,"")</x:f>
        <x:v>23</x:v>
      </x:c>
      <x:c r="B25" s="697" t="str">
        <x:f>IF($A25="","",'CADASTRO DE LOJAS'!F26)</x:f>
        <x:v>ML23 - SOROCABA IPANEMA</x:v>
      </x:c>
      <x:c r="C25" s="713" t="str">
        <x:f>IF($A25="","",'CADASTRO DE LOJAS'!D26)</x:f>
        <x:v>RAÍZES DO LAR</x:v>
      </x:c>
      <x:c r="D25" s="699" t="n">
        <x:f>IF($A25="","",IFERROR(INDEX(ETIQUETAS!$C$3:$AO$102,MATCH($A25,ETIQUETAS!$B$3:$B$102,0),MATCH($A$2,ETIQUETAS!$C$2:$AO$2,0)),0))</x:f>
        <x:v>16961</x:v>
      </x:c>
      <x:c r="E25" s="722" t="n">
        <x:f>IF($A25="","",IFERROR(INDEX('DIVERGÊNCIAS'!$C$3:$AO$102,MATCH($A25,'DIVERGÊNCIAS'!$B$3:$B$102,0),MATCH($A$2,'DIVERGÊNCIAS'!$C$2:$AO$2,0)),0))</x:f>
        <x:v>70</x:v>
      </x:c>
      <x:c r="F25" s="722" t="n">
        <x:f>IF($A25="","",IFERROR(INDEX('SEM PREÇO'!$C$3:$AO$102,MATCH($A25,'SEM PREÇO'!$B$3:$B$102,0),MATCH($A$2,'SEM PREÇO'!$C$2:$AO$2,0)),0))</x:f>
        <x:v>2417</x:v>
      </x:c>
      <x:c r="G25" s="699" t="n">
        <x:f>IF($A25="","",IFERROR(INDEX(DESCONTOS!$C$66:$BD$125,MATCH($A25,DESCONTOS!$B$66:$B$125,0),MATCH($A$2,DESCONTOS!$C$65:$BD$65,0)),IFERROR(INDEX(DESCONTOS!$C$183:$BD$222,MATCH($A25,DESCONTOS!$B$183:$B$222,0),MATCH($A$2,DESCONTOS!$C$182:$BD$182,0)),0)))</x:f>
        <x:v>39</x:v>
      </x:c>
      <x:c r="H25" s="410" t="n">
        <x:f>IF($A25="","",IFERROR(INDEX(DESCONTOS!$C$3:$BD$62,MATCH($A25,DESCONTOS!$B$3:$B$62,0),MATCH($A$2,DESCONTOS!$C$2:$BD$2,0)),IFERROR(INDEX(DESCONTOS!$C$141:$BD$180,MATCH($A25,DESCONTOS!$B$141:$B$180,0),MATCH($A$2,DESCONTOS!$C$140:$BD$140,0)),0)))</x:f>
        <x:v>431.83</x:v>
      </x:c>
      <x:c r="I25" s="699" t="n">
        <x:f>IF($A25="","",IFERROR(INDEX(DESCONTOS!$C$66:$BD$125,MATCH($A25,DESCONTOS!$B$66:$B$125,0),MATCH(EDATE($A$2,-12),DESCONTOS!$C$65:$BD$65,0)),IFERROR(INDEX(DESCONTOS!$C$183:$BD$222,MATCH($A25,DESCONTOS!$B$183:$B$222,0),MATCH(EDATE($A$2,-12),DESCONTOS!$C$182:$BD$182,0)),0)))</x:f>
        <x:v>8</x:v>
      </x:c>
      <x:c r="J25" s="410" t="n">
        <x:f>IF($A25="","",IFERROR(INDEX(DESCONTOS!$C$3:$BD$62,MATCH($A25,DESCONTOS!$B$3:$B$62,0),MATCH(EDATE($A$2,-12),DESCONTOS!$C$2:$BD$2,0)),IFERROR(INDEX(DESCONTOS!$C$141:$BD$180,MATCH($A25,DESCONTOS!$B$141:$B$180,0),MATCH(EDATE($A$2,-12),DESCONTOS!$C$140:$BD$140,0)),0)))</x:f>
        <x:v>82.31</x:v>
      </x:c>
      <x:c r="K25" s="699" t="n">
        <x:f>IF($A25="","",IFERROR(INDEX('CADASTRO DE LOJAS'!$I$3:$I$41,MATCH($A$2,'CADASTRO DE LOJAS'!$H$3:$H$41,0)),6000))</x:f>
        <x:v>6000</x:v>
      </x:c>
      <x:c r="L25" s="701" t="str">
        <x:f>IF($A25="","",IF(D25&gt;K25,"SIM","NÃO"))</x:f>
        <x:v>SIM</x:v>
      </x:c>
    </x:row>
    <x:row r="26" ht="20" customHeight="1">
      <x:c r="A26" s="32" t="n">
        <x:f>IF('CADASTRO DE LOJAS'!E27="SIM",'CADASTRO DE LOJAS'!B27,"")</x:f>
        <x:v>24</x:v>
      </x:c>
      <x:c r="B26" s="697" t="str">
        <x:f>IF($A26="","",'CADASTRO DE LOJAS'!F27)</x:f>
        <x:v>ML24 - RIBEIRÃO INDEPENDÊNCIA</x:v>
      </x:c>
      <x:c r="C26" s="713" t="str">
        <x:f>IF($A26="","",'CADASTRO DE LOJAS'!D27)</x:f>
        <x:v>VENTO DOURADO</x:v>
      </x:c>
      <x:c r="D26" s="699" t="n">
        <x:f>IF($A26="","",IFERROR(INDEX(ETIQUETAS!$C$3:$AO$102,MATCH($A26,ETIQUETAS!$B$3:$B$102,0),MATCH($A$2,ETIQUETAS!$C$2:$AO$2,0)),0))</x:f>
        <x:v>3807</x:v>
      </x:c>
      <x:c r="E26" s="722" t="n">
        <x:f>IF($A26="","",IFERROR(INDEX('DIVERGÊNCIAS'!$C$3:$AO$102,MATCH($A26,'DIVERGÊNCIAS'!$B$3:$B$102,0),MATCH($A$2,'DIVERGÊNCIAS'!$C$2:$AO$2,0)),0))</x:f>
        <x:v>13</x:v>
      </x:c>
      <x:c r="F26" s="722" t="n">
        <x:f>IF($A26="","",IFERROR(INDEX('SEM PREÇO'!$C$3:$AO$102,MATCH($A26,'SEM PREÇO'!$B$3:$B$102,0),MATCH($A$2,'SEM PREÇO'!$C$2:$AO$2,0)),0))</x:f>
        <x:v>169</x:v>
      </x:c>
      <x:c r="G26" s="699" t="n">
        <x:f>IF($A26="","",IFERROR(INDEX(DESCONTOS!$C$66:$BD$125,MATCH($A26,DESCONTOS!$B$66:$B$125,0),MATCH($A$2,DESCONTOS!$C$65:$BD$65,0)),IFERROR(INDEX(DESCONTOS!$C$183:$BD$222,MATCH($A26,DESCONTOS!$B$183:$B$222,0),MATCH($A$2,DESCONTOS!$C$182:$BD$182,0)),0)))</x:f>
        <x:v>11</x:v>
      </x:c>
      <x:c r="H26" s="410" t="n">
        <x:f>IF($A26="","",IFERROR(INDEX(DESCONTOS!$C$3:$BD$62,MATCH($A26,DESCONTOS!$B$3:$B$62,0),MATCH($A$2,DESCONTOS!$C$2:$BD$2,0)),IFERROR(INDEX(DESCONTOS!$C$141:$BD$180,MATCH($A26,DESCONTOS!$B$141:$B$180,0),MATCH($A$2,DESCONTOS!$C$140:$BD$140,0)),0)))</x:f>
        <x:v>118.5</x:v>
      </x:c>
      <x:c r="I26" s="699" t="n">
        <x:f>IF($A26="","",IFERROR(INDEX(DESCONTOS!$C$66:$BD$125,MATCH($A26,DESCONTOS!$B$66:$B$125,0),MATCH(EDATE($A$2,-12),DESCONTOS!$C$65:$BD$65,0)),IFERROR(INDEX(DESCONTOS!$C$183:$BD$222,MATCH($A26,DESCONTOS!$B$183:$B$222,0),MATCH(EDATE($A$2,-12),DESCONTOS!$C$182:$BD$182,0)),0)))</x:f>
        <x:v>23</x:v>
      </x:c>
      <x:c r="J26" s="410" t="n">
        <x:f>IF($A26="","",IFERROR(INDEX(DESCONTOS!$C$3:$BD$62,MATCH($A26,DESCONTOS!$B$3:$B$62,0),MATCH(EDATE($A$2,-12),DESCONTOS!$C$2:$BD$2,0)),IFERROR(INDEX(DESCONTOS!$C$141:$BD$180,MATCH($A26,DESCONTOS!$B$141:$B$180,0),MATCH(EDATE($A$2,-12),DESCONTOS!$C$140:$BD$140,0)),0)))</x:f>
        <x:v>313.53</x:v>
      </x:c>
      <x:c r="K26" s="699" t="n">
        <x:f>IF($A26="","",IFERROR(INDEX('CADASTRO DE LOJAS'!$I$3:$I$41,MATCH($A$2,'CADASTRO DE LOJAS'!$H$3:$H$41,0)),6000))</x:f>
        <x:v>6000</x:v>
      </x:c>
      <x:c r="L26" s="701" t="str">
        <x:f>IF($A26="","",IF(D26&gt;K26,"SIM","NÃO"))</x:f>
        <x:v>NÃO</x:v>
      </x:c>
    </x:row>
    <x:row r="27" ht="20" customHeight="1">
      <x:c r="A27" s="32" t="n">
        <x:f>IF('CADASTRO DE LOJAS'!E28="SIM",'CADASTRO DE LOJAS'!B28,"")</x:f>
        <x:v>25</x:v>
      </x:c>
      <x:c r="B27" s="697" t="str">
        <x:f>IF($A27="","",'CADASTRO DE LOJAS'!F28)</x:f>
        <x:v>ML25 - SUMARÉ</x:v>
      </x:c>
      <x:c r="C27" s="713" t="str">
        <x:f>IF($A27="","",'CADASTRO DE LOJAS'!D28)</x:f>
        <x:v>GUARDIÕES DA LUZ</x:v>
      </x:c>
      <x:c r="D27" s="699" t="n">
        <x:f>IF($A27="","",IFERROR(INDEX(ETIQUETAS!$C$3:$AO$102,MATCH($A27,ETIQUETAS!$B$3:$B$102,0),MATCH($A$2,ETIQUETAS!$C$2:$AO$2,0)),0))</x:f>
        <x:v>6337</x:v>
      </x:c>
      <x:c r="E27" s="722" t="n">
        <x:f>IF($A27="","",IFERROR(INDEX('DIVERGÊNCIAS'!$C$3:$AO$102,MATCH($A27,'DIVERGÊNCIAS'!$B$3:$B$102,0),MATCH($A$2,'DIVERGÊNCIAS'!$C$2:$AO$2,0)),0))</x:f>
        <x:v>12</x:v>
      </x:c>
      <x:c r="F27" s="722" t="n">
        <x:f>IF($A27="","",IFERROR(INDEX('SEM PREÇO'!$C$3:$AO$102,MATCH($A27,'SEM PREÇO'!$B$3:$B$102,0),MATCH($A$2,'SEM PREÇO'!$C$2:$AO$2,0)),0))</x:f>
        <x:v>49</x:v>
      </x:c>
      <x:c r="G27" s="699" t="n">
        <x:f>IF($A27="","",IFERROR(INDEX(DESCONTOS!$C$66:$BD$125,MATCH($A27,DESCONTOS!$B$66:$B$125,0),MATCH($A$2,DESCONTOS!$C$65:$BD$65,0)),IFERROR(INDEX(DESCONTOS!$C$183:$BD$222,MATCH($A27,DESCONTOS!$B$183:$B$222,0),MATCH($A$2,DESCONTOS!$C$182:$BD$182,0)),0)))</x:f>
        <x:v>11</x:v>
      </x:c>
      <x:c r="H27" s="410" t="n">
        <x:f>IF($A27="","",IFERROR(INDEX(DESCONTOS!$C$3:$BD$62,MATCH($A27,DESCONTOS!$B$3:$B$62,0),MATCH($A$2,DESCONTOS!$C$2:$BD$2,0)),IFERROR(INDEX(DESCONTOS!$C$141:$BD$180,MATCH($A27,DESCONTOS!$B$141:$B$180,0),MATCH($A$2,DESCONTOS!$C$140:$BD$140,0)),0)))</x:f>
        <x:v>118.47</x:v>
      </x:c>
      <x:c r="I27" s="699" t="n">
        <x:f>IF($A27="","",IFERROR(INDEX(DESCONTOS!$C$66:$BD$125,MATCH($A27,DESCONTOS!$B$66:$B$125,0),MATCH(EDATE($A$2,-12),DESCONTOS!$C$65:$BD$65,0)),IFERROR(INDEX(DESCONTOS!$C$183:$BD$222,MATCH($A27,DESCONTOS!$B$183:$B$222,0),MATCH(EDATE($A$2,-12),DESCONTOS!$C$182:$BD$182,0)),0)))</x:f>
        <x:v>4</x:v>
      </x:c>
      <x:c r="J27" s="410" t="n">
        <x:f>IF($A27="","",IFERROR(INDEX(DESCONTOS!$C$3:$BD$62,MATCH($A27,DESCONTOS!$B$3:$B$62,0),MATCH(EDATE($A$2,-12),DESCONTOS!$C$2:$BD$2,0)),IFERROR(INDEX(DESCONTOS!$C$141:$BD$180,MATCH($A27,DESCONTOS!$B$141:$B$180,0),MATCH(EDATE($A$2,-12),DESCONTOS!$C$140:$BD$140,0)),0)))</x:f>
        <x:v>45</x:v>
      </x:c>
      <x:c r="K27" s="699" t="n">
        <x:f>IF($A27="","",IFERROR(INDEX('CADASTRO DE LOJAS'!$I$3:$I$41,MATCH($A$2,'CADASTRO DE LOJAS'!$H$3:$H$41,0)),6000))</x:f>
        <x:v>6000</x:v>
      </x:c>
      <x:c r="L27" s="701" t="str">
        <x:f>IF($A27="","",IF(D27&gt;K27,"SIM","NÃO"))</x:f>
        <x:v>SIM</x:v>
      </x:c>
    </x:row>
    <x:row r="28" ht="20" customHeight="1">
      <x:c r="A28" s="32" t="n">
        <x:f>IF('CADASTRO DE LOJAS'!E29="SIM",'CADASTRO DE LOJAS'!B29,"")</x:f>
        <x:v>26</x:v>
      </x:c>
      <x:c r="B28" s="697" t="str">
        <x:f>IF($A28="","",'CADASTRO DE LOJAS'!F29)</x:f>
        <x:v>ML26 - ITAPETININGA</x:v>
      </x:c>
      <x:c r="C28" s="713" t="str">
        <x:f>IF($A28="","",'CADASTRO DE LOJAS'!D29)</x:f>
        <x:v>RAÍZES DO LAR</x:v>
      </x:c>
      <x:c r="D28" s="699" t="n">
        <x:f>IF($A28="","",IFERROR(INDEX(ETIQUETAS!$C$3:$AO$102,MATCH($A28,ETIQUETAS!$B$3:$B$102,0),MATCH($A$2,ETIQUETAS!$C$2:$AO$2,0)),0))</x:f>
        <x:v>14454</x:v>
      </x:c>
      <x:c r="E28" s="722" t="n">
        <x:f>IF($A28="","",IFERROR(INDEX('DIVERGÊNCIAS'!$C$3:$AO$102,MATCH($A28,'DIVERGÊNCIAS'!$B$3:$B$102,0),MATCH($A$2,'DIVERGÊNCIAS'!$C$2:$AO$2,0)),0))</x:f>
        <x:v>11</x:v>
      </x:c>
      <x:c r="F28" s="722" t="n">
        <x:f>IF($A28="","",IFERROR(INDEX('SEM PREÇO'!$C$3:$AO$102,MATCH($A28,'SEM PREÇO'!$B$3:$B$102,0),MATCH($A$2,'SEM PREÇO'!$C$2:$AO$2,0)),0))</x:f>
        <x:v>10</x:v>
      </x:c>
      <x:c r="G28" s="699" t="n">
        <x:f>IF($A28="","",IFERROR(INDEX(DESCONTOS!$C$66:$BD$125,MATCH($A28,DESCONTOS!$B$66:$B$125,0),MATCH($A$2,DESCONTOS!$C$65:$BD$65,0)),IFERROR(INDEX(DESCONTOS!$C$183:$BD$222,MATCH($A28,DESCONTOS!$B$183:$B$222,0),MATCH($A$2,DESCONTOS!$C$182:$BD$182,0)),0)))</x:f>
        <x:v>19</x:v>
      </x:c>
      <x:c r="H28" s="410" t="n">
        <x:f>IF($A28="","",IFERROR(INDEX(DESCONTOS!$C$3:$BD$62,MATCH($A28,DESCONTOS!$B$3:$B$62,0),MATCH($A$2,DESCONTOS!$C$2:$BD$2,0)),IFERROR(INDEX(DESCONTOS!$C$141:$BD$180,MATCH($A28,DESCONTOS!$B$141:$B$180,0),MATCH($A$2,DESCONTOS!$C$140:$BD$140,0)),0)))</x:f>
        <x:v>111.5</x:v>
      </x:c>
      <x:c r="I28" s="699" t="n">
        <x:f>IF($A28="","",IFERROR(INDEX(DESCONTOS!$C$66:$BD$125,MATCH($A28,DESCONTOS!$B$66:$B$125,0),MATCH(EDATE($A$2,-12),DESCONTOS!$C$65:$BD$65,0)),IFERROR(INDEX(DESCONTOS!$C$183:$BD$222,MATCH($A28,DESCONTOS!$B$183:$B$222,0),MATCH(EDATE($A$2,-12),DESCONTOS!$C$182:$BD$182,0)),0)))</x:f>
        <x:v>2</x:v>
      </x:c>
      <x:c r="J28" s="410" t="n">
        <x:f>IF($A28="","",IFERROR(INDEX(DESCONTOS!$C$3:$BD$62,MATCH($A28,DESCONTOS!$B$3:$B$62,0),MATCH(EDATE($A$2,-12),DESCONTOS!$C$2:$BD$2,0)),IFERROR(INDEX(DESCONTOS!$C$141:$BD$180,MATCH($A28,DESCONTOS!$B$141:$B$180,0),MATCH(EDATE($A$2,-12),DESCONTOS!$C$140:$BD$140,0)),0)))</x:f>
        <x:v>22</x:v>
      </x:c>
      <x:c r="K28" s="699" t="n">
        <x:f>IF($A28="","",IFERROR(INDEX('CADASTRO DE LOJAS'!$I$3:$I$41,MATCH($A$2,'CADASTRO DE LOJAS'!$H$3:$H$41,0)),6000))</x:f>
        <x:v>6000</x:v>
      </x:c>
      <x:c r="L28" s="701" t="str">
        <x:f>IF($A28="","",IF(D28&gt;K28,"SIM","NÃO"))</x:f>
        <x:v>SIM</x:v>
      </x:c>
    </x:row>
    <x:row r="29" ht="20" customHeight="1">
      <x:c r="A29" s="32" t="n">
        <x:f>IF('CADASTRO DE LOJAS'!E30="SIM",'CADASTRO DE LOJAS'!B30,"")</x:f>
        <x:v>27</x:v>
      </x:c>
      <x:c r="B29" s="697" t="str">
        <x:f>IF($A29="","",'CADASTRO DE LOJAS'!F30)</x:f>
        <x:v>ML27 - CAMPINAS SHOPPING</x:v>
      </x:c>
      <x:c r="C29" s="713" t="str">
        <x:f>IF($A29="","",'CADASTRO DE LOJAS'!D30)</x:f>
        <x:v>RAÍZES DO LAR</x:v>
      </x:c>
      <x:c r="D29" s="699" t="n">
        <x:f>IF($A29="","",IFERROR(INDEX(ETIQUETAS!$C$3:$AO$102,MATCH($A29,ETIQUETAS!$B$3:$B$102,0),MATCH($A$2,ETIQUETAS!$C$2:$AO$2,0)),0))</x:f>
        <x:v>5709</x:v>
      </x:c>
      <x:c r="E29" s="722" t="n">
        <x:f>IF($A29="","",IFERROR(INDEX('DIVERGÊNCIAS'!$C$3:$AO$102,MATCH($A29,'DIVERGÊNCIAS'!$B$3:$B$102,0),MATCH($A$2,'DIVERGÊNCIAS'!$C$2:$AO$2,0)),0))</x:f>
        <x:v>57</x:v>
      </x:c>
      <x:c r="F29" s="722" t="n">
        <x:f>IF($A29="","",IFERROR(INDEX('SEM PREÇO'!$C$3:$AO$102,MATCH($A29,'SEM PREÇO'!$B$3:$B$102,0),MATCH($A$2,'SEM PREÇO'!$C$2:$AO$2,0)),0))</x:f>
        <x:v>691</x:v>
      </x:c>
      <x:c r="G29" s="699" t="n">
        <x:f>IF($A29="","",IFERROR(INDEX(DESCONTOS!$C$66:$BD$125,MATCH($A29,DESCONTOS!$B$66:$B$125,0),MATCH($A$2,DESCONTOS!$C$65:$BD$65,0)),IFERROR(INDEX(DESCONTOS!$C$183:$BD$222,MATCH($A29,DESCONTOS!$B$183:$B$222,0),MATCH($A$2,DESCONTOS!$C$182:$BD$182,0)),0)))</x:f>
        <x:v>23</x:v>
      </x:c>
      <x:c r="H29" s="410" t="n">
        <x:f>IF($A29="","",IFERROR(INDEX(DESCONTOS!$C$3:$BD$62,MATCH($A29,DESCONTOS!$B$3:$B$62,0),MATCH($A$2,DESCONTOS!$C$2:$BD$2,0)),IFERROR(INDEX(DESCONTOS!$C$141:$BD$180,MATCH($A29,DESCONTOS!$B$141:$B$180,0),MATCH($A$2,DESCONTOS!$C$140:$BD$140,0)),0)))</x:f>
        <x:v>376</x:v>
      </x:c>
      <x:c r="I29" s="699" t="n">
        <x:f>IF($A29="","",IFERROR(INDEX(DESCONTOS!$C$66:$BD$125,MATCH($A29,DESCONTOS!$B$66:$B$125,0),MATCH(EDATE($A$2,-12),DESCONTOS!$C$65:$BD$65,0)),IFERROR(INDEX(DESCONTOS!$C$183:$BD$222,MATCH($A29,DESCONTOS!$B$183:$B$222,0),MATCH(EDATE($A$2,-12),DESCONTOS!$C$182:$BD$182,0)),0)))</x:f>
        <x:v>56</x:v>
      </x:c>
      <x:c r="J29" s="410" t="n">
        <x:f>IF($A29="","",IFERROR(INDEX(DESCONTOS!$C$3:$BD$62,MATCH($A29,DESCONTOS!$B$3:$B$62,0),MATCH(EDATE($A$2,-12),DESCONTOS!$C$2:$BD$2,0)),IFERROR(INDEX(DESCONTOS!$C$141:$BD$180,MATCH($A29,DESCONTOS!$B$141:$B$180,0),MATCH(EDATE($A$2,-12),DESCONTOS!$C$140:$BD$140,0)),0)))</x:f>
        <x:v>630.65</x:v>
      </x:c>
      <x:c r="K29" s="699" t="n">
        <x:f>IF($A29="","",IFERROR(INDEX('CADASTRO DE LOJAS'!$I$3:$I$41,MATCH($A$2,'CADASTRO DE LOJAS'!$H$3:$H$41,0)),6000))</x:f>
        <x:v>6000</x:v>
      </x:c>
      <x:c r="L29" s="701" t="str">
        <x:f>IF($A29="","",IF(D29&gt;K29,"SIM","NÃO"))</x:f>
        <x:v>NÃO</x:v>
      </x:c>
    </x:row>
    <x:row r="30" ht="20" customHeight="1">
      <x:c r="A30" s="32" t="n">
        <x:f>IF('CADASTRO DE LOJAS'!E31="SIM",'CADASTRO DE LOJAS'!B31,"")</x:f>
        <x:v>28</x:v>
      </x:c>
      <x:c r="B30" s="697" t="str">
        <x:f>IF($A30="","",'CADASTRO DE LOJAS'!F31)</x:f>
        <x:v>ML28 - ITU PLAZA SHOPPING</x:v>
      </x:c>
      <x:c r="C30" s="713" t="str">
        <x:f>IF($A30="","",'CADASTRO DE LOJAS'!D31)</x:f>
        <x:v>RAÍZES DO LAR</x:v>
      </x:c>
      <x:c r="D30" s="699" t="n">
        <x:f>IF($A30="","",IFERROR(INDEX(ETIQUETAS!$C$3:$AO$102,MATCH($A30,ETIQUETAS!$B$3:$B$102,0),MATCH($A$2,ETIQUETAS!$C$2:$AO$2,0)),0))</x:f>
        <x:v>15848</x:v>
      </x:c>
      <x:c r="E30" s="722" t="n">
        <x:f>IF($A30="","",IFERROR(INDEX('DIVERGÊNCIAS'!$C$3:$AO$102,MATCH($A30,'DIVERGÊNCIAS'!$B$3:$B$102,0),MATCH($A$2,'DIVERGÊNCIAS'!$C$2:$AO$2,0)),0))</x:f>
        <x:v>2</x:v>
      </x:c>
      <x:c r="F30" s="722" t="n">
        <x:f>IF($A30="","",IFERROR(INDEX('SEM PREÇO'!$C$3:$AO$102,MATCH($A30,'SEM PREÇO'!$B$3:$B$102,0),MATCH($A$2,'SEM PREÇO'!$C$2:$AO$2,0)),0))</x:f>
        <x:v>83</x:v>
      </x:c>
      <x:c r="G30" s="699" t="n">
        <x:f>IF($A30="","",IFERROR(INDEX(DESCONTOS!$C$66:$BD$125,MATCH($A30,DESCONTOS!$B$66:$B$125,0),MATCH($A$2,DESCONTOS!$C$65:$BD$65,0)),IFERROR(INDEX(DESCONTOS!$C$183:$BD$222,MATCH($A30,DESCONTOS!$B$183:$B$222,0),MATCH($A$2,DESCONTOS!$C$182:$BD$182,0)),0)))</x:f>
        <x:v>31</x:v>
      </x:c>
      <x:c r="H30" s="410" t="n">
        <x:f>IF($A30="","",IFERROR(INDEX(DESCONTOS!$C$3:$BD$62,MATCH($A30,DESCONTOS!$B$3:$B$62,0),MATCH($A$2,DESCONTOS!$C$2:$BD$2,0)),IFERROR(INDEX(DESCONTOS!$C$141:$BD$180,MATCH($A30,DESCONTOS!$B$141:$B$180,0),MATCH($A$2,DESCONTOS!$C$140:$BD$140,0)),0)))</x:f>
        <x:v>437.5</x:v>
      </x:c>
      <x:c r="I30" s="699" t="n">
        <x:f>IF($A30="","",IFERROR(INDEX(DESCONTOS!$C$66:$BD$125,MATCH($A30,DESCONTOS!$B$66:$B$125,0),MATCH(EDATE($A$2,-12),DESCONTOS!$C$65:$BD$65,0)),IFERROR(INDEX(DESCONTOS!$C$183:$BD$222,MATCH($A30,DESCONTOS!$B$183:$B$222,0),MATCH(EDATE($A$2,-12),DESCONTOS!$C$182:$BD$182,0)),0)))</x:f>
        <x:v>18</x:v>
      </x:c>
      <x:c r="J30" s="410" t="n">
        <x:f>IF($A30="","",IFERROR(INDEX(DESCONTOS!$C$3:$BD$62,MATCH($A30,DESCONTOS!$B$3:$B$62,0),MATCH(EDATE($A$2,-12),DESCONTOS!$C$2:$BD$2,0)),IFERROR(INDEX(DESCONTOS!$C$141:$BD$180,MATCH($A30,DESCONTOS!$B$141:$B$180,0),MATCH(EDATE($A$2,-12),DESCONTOS!$C$140:$BD$140,0)),0)))</x:f>
        <x:v>260.05</x:v>
      </x:c>
      <x:c r="K30" s="699" t="n">
        <x:f>IF($A30="","",IFERROR(INDEX('CADASTRO DE LOJAS'!$I$3:$I$41,MATCH($A$2,'CADASTRO DE LOJAS'!$H$3:$H$41,0)),6000))</x:f>
        <x:v>6000</x:v>
      </x:c>
      <x:c r="L30" s="701" t="str">
        <x:f>IF($A30="","",IF(D30&gt;K30,"SIM","NÃO"))</x:f>
        <x:v>SIM</x:v>
      </x:c>
    </x:row>
    <x:row r="31" ht="20" customHeight="1">
      <x:c r="A31" s="32" t="n">
        <x:f>IF('CADASTRO DE LOJAS'!E32="SIM",'CADASTRO DE LOJAS'!B32,"")</x:f>
        <x:v>29</x:v>
      </x:c>
      <x:c r="B31" s="697" t="str">
        <x:f>IF($A31="","",'CADASTRO DE LOJAS'!F32)</x:f>
        <x:v>ML29 - MOGI GUAÇU</x:v>
      </x:c>
      <x:c r="C31" s="713" t="str">
        <x:f>IF($A31="","",'CADASTRO DE LOJAS'!D32)</x:f>
        <x:v>RAIO BRAVO</x:v>
      </x:c>
      <x:c r="D31" s="699" t="n">
        <x:f>IF($A31="","",IFERROR(INDEX(ETIQUETAS!$C$3:$AO$102,MATCH($A31,ETIQUETAS!$B$3:$B$102,0),MATCH($A$2,ETIQUETAS!$C$2:$AO$2,0)),0))</x:f>
        <x:v>9308</x:v>
      </x:c>
      <x:c r="E31" s="722" t="n">
        <x:f>IF($A31="","",IFERROR(INDEX('DIVERGÊNCIAS'!$C$3:$AO$102,MATCH($A31,'DIVERGÊNCIAS'!$B$3:$B$102,0),MATCH($A$2,'DIVERGÊNCIAS'!$C$2:$AO$2,0)),0))</x:f>
        <x:v>14</x:v>
      </x:c>
      <x:c r="F31" s="722" t="n">
        <x:f>IF($A31="","",IFERROR(INDEX('SEM PREÇO'!$C$3:$AO$102,MATCH($A31,'SEM PREÇO'!$B$3:$B$102,0),MATCH($A$2,'SEM PREÇO'!$C$2:$AO$2,0)),0))</x:f>
        <x:v>305</x:v>
      </x:c>
      <x:c r="G31" s="699" t="n">
        <x:f>IF($A31="","",IFERROR(INDEX(DESCONTOS!$C$66:$BD$125,MATCH($A31,DESCONTOS!$B$66:$B$125,0),MATCH($A$2,DESCONTOS!$C$65:$BD$65,0)),IFERROR(INDEX(DESCONTOS!$C$183:$BD$222,MATCH($A31,DESCONTOS!$B$183:$B$222,0),MATCH($A$2,DESCONTOS!$C$182:$BD$182,0)),0)))</x:f>
        <x:v>34</x:v>
      </x:c>
      <x:c r="H31" s="410" t="n">
        <x:f>IF($A31="","",IFERROR(INDEX(DESCONTOS!$C$3:$BD$62,MATCH($A31,DESCONTOS!$B$3:$B$62,0),MATCH($A$2,DESCONTOS!$C$2:$BD$2,0)),IFERROR(INDEX(DESCONTOS!$C$141:$BD$180,MATCH($A31,DESCONTOS!$B$141:$B$180,0),MATCH($A$2,DESCONTOS!$C$140:$BD$140,0)),0)))</x:f>
        <x:v>337.4</x:v>
      </x:c>
      <x:c r="I31" s="699" t="n">
        <x:f>IF($A31="","",IFERROR(INDEX(DESCONTOS!$C$66:$BD$125,MATCH($A31,DESCONTOS!$B$66:$B$125,0),MATCH(EDATE($A$2,-12),DESCONTOS!$C$65:$BD$65,0)),IFERROR(INDEX(DESCONTOS!$C$183:$BD$222,MATCH($A31,DESCONTOS!$B$183:$B$222,0),MATCH(EDATE($A$2,-12),DESCONTOS!$C$182:$BD$182,0)),0)))</x:f>
        <x:v>4</x:v>
      </x:c>
      <x:c r="J31" s="410" t="n">
        <x:f>IF($A31="","",IFERROR(INDEX(DESCONTOS!$C$3:$BD$62,MATCH($A31,DESCONTOS!$B$3:$B$62,0),MATCH(EDATE($A$2,-12),DESCONTOS!$C$2:$BD$2,0)),IFERROR(INDEX(DESCONTOS!$C$141:$BD$180,MATCH($A31,DESCONTOS!$B$141:$B$180,0),MATCH(EDATE($A$2,-12),DESCONTOS!$C$140:$BD$140,0)),0)))</x:f>
        <x:v>84.91</x:v>
      </x:c>
      <x:c r="K31" s="699" t="n">
        <x:f>IF($A31="","",IFERROR(INDEX('CADASTRO DE LOJAS'!$I$3:$I$41,MATCH($A$2,'CADASTRO DE LOJAS'!$H$3:$H$41,0)),6000))</x:f>
        <x:v>6000</x:v>
      </x:c>
      <x:c r="L31" s="701" t="str">
        <x:f>IF($A31="","",IF(D31&gt;K31,"SIM","NÃO"))</x:f>
        <x:v>SIM</x:v>
      </x:c>
    </x:row>
    <x:row r="32" ht="20" customHeight="1">
      <x:c r="A32" s="32" t="n">
        <x:f>IF('CADASTRO DE LOJAS'!E33="SIM",'CADASTRO DE LOJAS'!B33,"")</x:f>
        <x:v>30</x:v>
      </x:c>
      <x:c r="B32" s="697" t="str">
        <x:f>IF($A32="","",'CADASTRO DE LOJAS'!F33)</x:f>
        <x:v>ML30 - ARARAQUARA CENTRO</x:v>
      </x:c>
      <x:c r="C32" s="713" t="str">
        <x:f>IF($A32="","",'CADASTRO DE LOJAS'!D33)</x:f>
        <x:v>RAIO BRAVO</x:v>
      </x:c>
      <x:c r="D32" s="699" t="n">
        <x:f>IF($A32="","",IFERROR(INDEX(ETIQUETAS!$C$3:$AO$102,MATCH($A32,ETIQUETAS!$B$3:$B$102,0),MATCH($A$2,ETIQUETAS!$C$2:$AO$2,0)),0))</x:f>
        <x:v>11029</x:v>
      </x:c>
      <x:c r="E32" s="722" t="n">
        <x:f>IF($A32="","",IFERROR(INDEX('DIVERGÊNCIAS'!$C$3:$AO$102,MATCH($A32,'DIVERGÊNCIAS'!$B$3:$B$102,0),MATCH($A$2,'DIVERGÊNCIAS'!$C$2:$AO$2,0)),0))</x:f>
        <x:v>40</x:v>
      </x:c>
      <x:c r="F32" s="722" t="n">
        <x:f>IF($A32="","",IFERROR(INDEX('SEM PREÇO'!$C$3:$AO$102,MATCH($A32,'SEM PREÇO'!$B$3:$B$102,0),MATCH($A$2,'SEM PREÇO'!$C$2:$AO$2,0)),0))</x:f>
        <x:v>65</x:v>
      </x:c>
      <x:c r="G32" s="699" t="n">
        <x:f>IF($A32="","",IFERROR(INDEX(DESCONTOS!$C$66:$BD$125,MATCH($A32,DESCONTOS!$B$66:$B$125,0),MATCH($A$2,DESCONTOS!$C$65:$BD$65,0)),IFERROR(INDEX(DESCONTOS!$C$183:$BD$222,MATCH($A32,DESCONTOS!$B$183:$B$222,0),MATCH($A$2,DESCONTOS!$C$182:$BD$182,0)),0)))</x:f>
        <x:v>126</x:v>
      </x:c>
      <x:c r="H32" s="410" t="n">
        <x:f>IF($A32="","",IFERROR(INDEX(DESCONTOS!$C$3:$BD$62,MATCH($A32,DESCONTOS!$B$3:$B$62,0),MATCH($A$2,DESCONTOS!$C$2:$BD$2,0)),IFERROR(INDEX(DESCONTOS!$C$141:$BD$180,MATCH($A32,DESCONTOS!$B$141:$B$180,0),MATCH($A$2,DESCONTOS!$C$140:$BD$140,0)),0)))</x:f>
        <x:v>1114.07</x:v>
      </x:c>
      <x:c r="I32" s="699" t="n">
        <x:f>IF($A32="","",IFERROR(INDEX(DESCONTOS!$C$66:$BD$125,MATCH($A32,DESCONTOS!$B$66:$B$125,0),MATCH(EDATE($A$2,-12),DESCONTOS!$C$65:$BD$65,0)),IFERROR(INDEX(DESCONTOS!$C$183:$BD$222,MATCH($A32,DESCONTOS!$B$183:$B$222,0),MATCH(EDATE($A$2,-12),DESCONTOS!$C$182:$BD$182,0)),0)))</x:f>
        <x:v>15</x:v>
      </x:c>
      <x:c r="J32" s="410" t="n">
        <x:f>IF($A32="","",IFERROR(INDEX(DESCONTOS!$C$3:$BD$62,MATCH($A32,DESCONTOS!$B$3:$B$62,0),MATCH(EDATE($A$2,-12),DESCONTOS!$C$2:$BD$2,0)),IFERROR(INDEX(DESCONTOS!$C$141:$BD$180,MATCH($A32,DESCONTOS!$B$141:$B$180,0),MATCH(EDATE($A$2,-12),DESCONTOS!$C$140:$BD$140,0)),0)))</x:f>
        <x:v>116</x:v>
      </x:c>
      <x:c r="K32" s="699" t="n">
        <x:f>IF($A32="","",IFERROR(INDEX('CADASTRO DE LOJAS'!$I$3:$I$41,MATCH($A$2,'CADASTRO DE LOJAS'!$H$3:$H$41,0)),6000))</x:f>
        <x:v>6000</x:v>
      </x:c>
      <x:c r="L32" s="701" t="str">
        <x:f>IF($A32="","",IF(D32&gt;K32,"SIM","NÃO"))</x:f>
        <x:v>SIM</x:v>
      </x:c>
    </x:row>
    <x:row r="33" ht="20" customHeight="1">
      <x:c r="A33" s="32" t="n">
        <x:f>IF('CADASTRO DE LOJAS'!E34="SIM",'CADASTRO DE LOJAS'!B34,"")</x:f>
        <x:v>31</x:v>
      </x:c>
      <x:c r="B33" s="697" t="str">
        <x:f>IF($A33="","",'CADASTRO DE LOJAS'!F34)</x:f>
        <x:v>ML31 - BAURU DUQUE</x:v>
      </x:c>
      <x:c r="C33" s="713" t="str">
        <x:f>IF($A33="","",'CADASTRO DE LOJAS'!D34)</x:f>
        <x:v>OCEANO MARA</x:v>
      </x:c>
      <x:c r="D33" s="699" t="n">
        <x:f>IF($A33="","",IFERROR(INDEX(ETIQUETAS!$C$3:$AO$102,MATCH($A33,ETIQUETAS!$B$3:$B$102,0),MATCH($A$2,ETIQUETAS!$C$2:$AO$2,0)),0))</x:f>
        <x:v>7620</x:v>
      </x:c>
      <x:c r="E33" s="722" t="n">
        <x:f>IF($A33="","",IFERROR(INDEX('DIVERGÊNCIAS'!$C$3:$AO$102,MATCH($A33,'DIVERGÊNCIAS'!$B$3:$B$102,0),MATCH($A$2,'DIVERGÊNCIAS'!$C$2:$AO$2,0)),0))</x:f>
        <x:v>0</x:v>
      </x:c>
      <x:c r="F33" s="722" t="n">
        <x:f>IF($A33="","",IFERROR(INDEX('SEM PREÇO'!$C$3:$AO$102,MATCH($A33,'SEM PREÇO'!$B$3:$B$102,0),MATCH($A$2,'SEM PREÇO'!$C$2:$AO$2,0)),0))</x:f>
        <x:v>7</x:v>
      </x:c>
      <x:c r="G33" s="699" t="n">
        <x:f>IF($A33="","",IFERROR(INDEX(DESCONTOS!$C$66:$BD$125,MATCH($A33,DESCONTOS!$B$66:$B$125,0),MATCH($A$2,DESCONTOS!$C$65:$BD$65,0)),IFERROR(INDEX(DESCONTOS!$C$183:$BD$222,MATCH($A33,DESCONTOS!$B$183:$B$222,0),MATCH($A$2,DESCONTOS!$C$182:$BD$182,0)),0)))</x:f>
        <x:v>40</x:v>
      </x:c>
      <x:c r="H33" s="410" t="n">
        <x:f>IF($A33="","",IFERROR(INDEX(DESCONTOS!$C$3:$BD$62,MATCH($A33,DESCONTOS!$B$3:$B$62,0),MATCH($A$2,DESCONTOS!$C$2:$BD$2,0)),IFERROR(INDEX(DESCONTOS!$C$141:$BD$180,MATCH($A33,DESCONTOS!$B$141:$B$180,0),MATCH($A$2,DESCONTOS!$C$140:$BD$140,0)),0)))</x:f>
        <x:v>379.46</x:v>
      </x:c>
      <x:c r="I33" s="699" t="n">
        <x:f>IF($A33="","",IFERROR(INDEX(DESCONTOS!$C$66:$BD$125,MATCH($A33,DESCONTOS!$B$66:$B$125,0),MATCH(EDATE($A$2,-12),DESCONTOS!$C$65:$BD$65,0)),IFERROR(INDEX(DESCONTOS!$C$183:$BD$222,MATCH($A33,DESCONTOS!$B$183:$B$222,0),MATCH(EDATE($A$2,-12),DESCONTOS!$C$182:$BD$182,0)),0)))</x:f>
        <x:v>14</x:v>
      </x:c>
      <x:c r="J33" s="410" t="n">
        <x:f>IF($A33="","",IFERROR(INDEX(DESCONTOS!$C$3:$BD$62,MATCH($A33,DESCONTOS!$B$3:$B$62,0),MATCH(EDATE($A$2,-12),DESCONTOS!$C$2:$BD$2,0)),IFERROR(INDEX(DESCONTOS!$C$141:$BD$180,MATCH($A33,DESCONTOS!$B$141:$B$180,0),MATCH(EDATE($A$2,-12),DESCONTOS!$C$140:$BD$140,0)),0)))</x:f>
        <x:v>275.91</x:v>
      </x:c>
      <x:c r="K33" s="699" t="n">
        <x:f>IF($A33="","",IFERROR(INDEX('CADASTRO DE LOJAS'!$I$3:$I$41,MATCH($A$2,'CADASTRO DE LOJAS'!$H$3:$H$41,0)),6000))</x:f>
        <x:v>6000</x:v>
      </x:c>
      <x:c r="L33" s="701" t="str">
        <x:f>IF($A33="","",IF(D33&gt;K33,"SIM","NÃO"))</x:f>
        <x:v>SIM</x:v>
      </x:c>
    </x:row>
    <x:row r="34" ht="20" customHeight="1">
      <x:c r="A34" s="32" t="n">
        <x:f>IF('CADASTRO DE LOJAS'!E35="SIM",'CADASTRO DE LOJAS'!B35,"")</x:f>
        <x:v>32</x:v>
      </x:c>
      <x:c r="B34" s="697" t="str">
        <x:f>IF($A34="","",'CADASTRO DE LOJAS'!F35)</x:f>
        <x:v>ML32 - BAURU CASTELO</x:v>
      </x:c>
      <x:c r="C34" s="713" t="str">
        <x:f>IF($A34="","",'CADASTRO DE LOJAS'!D35)</x:f>
        <x:v>OCEANO MARA</x:v>
      </x:c>
      <x:c r="D34" s="699" t="n">
        <x:f>IF($A34="","",IFERROR(INDEX(ETIQUETAS!$C$3:$AO$102,MATCH($A34,ETIQUETAS!$B$3:$B$102,0),MATCH($A$2,ETIQUETAS!$C$2:$AO$2,0)),0))</x:f>
        <x:v>6439</x:v>
      </x:c>
      <x:c r="E34" s="722" t="n">
        <x:f>IF($A34="","",IFERROR(INDEX('DIVERGÊNCIAS'!$C$3:$AO$102,MATCH($A34,'DIVERGÊNCIAS'!$B$3:$B$102,0),MATCH($A$2,'DIVERGÊNCIAS'!$C$2:$AO$2,0)),0))</x:f>
        <x:v>31</x:v>
      </x:c>
      <x:c r="F34" s="722" t="n">
        <x:f>IF($A34="","",IFERROR(INDEX('SEM PREÇO'!$C$3:$AO$102,MATCH($A34,'SEM PREÇO'!$B$3:$B$102,0),MATCH($A$2,'SEM PREÇO'!$C$2:$AO$2,0)),0))</x:f>
        <x:v>26</x:v>
      </x:c>
      <x:c r="G34" s="699" t="n">
        <x:f>IF($A34="","",IFERROR(INDEX(DESCONTOS!$C$66:$BD$125,MATCH($A34,DESCONTOS!$B$66:$B$125,0),MATCH($A$2,DESCONTOS!$C$65:$BD$65,0)),IFERROR(INDEX(DESCONTOS!$C$183:$BD$222,MATCH($A34,DESCONTOS!$B$183:$B$222,0),MATCH($A$2,DESCONTOS!$C$182:$BD$182,0)),0)))</x:f>
        <x:v>8</x:v>
      </x:c>
      <x:c r="H34" s="410" t="n">
        <x:f>IF($A34="","",IFERROR(INDEX(DESCONTOS!$C$3:$BD$62,MATCH($A34,DESCONTOS!$B$3:$B$62,0),MATCH($A$2,DESCONTOS!$C$2:$BD$2,0)),IFERROR(INDEX(DESCONTOS!$C$141:$BD$180,MATCH($A34,DESCONTOS!$B$141:$B$180,0),MATCH($A$2,DESCONTOS!$C$140:$BD$140,0)),0)))</x:f>
        <x:v>73.5</x:v>
      </x:c>
      <x:c r="I34" s="699" t="n">
        <x:f>IF($A34="","",IFERROR(INDEX(DESCONTOS!$C$66:$BD$125,MATCH($A34,DESCONTOS!$B$66:$B$125,0),MATCH(EDATE($A$2,-12),DESCONTOS!$C$65:$BD$65,0)),IFERROR(INDEX(DESCONTOS!$C$183:$BD$222,MATCH($A34,DESCONTOS!$B$183:$B$222,0),MATCH(EDATE($A$2,-12),DESCONTOS!$C$182:$BD$182,0)),0)))</x:f>
        <x:v>26</x:v>
      </x:c>
      <x:c r="J34" s="410" t="n">
        <x:f>IF($A34="","",IFERROR(INDEX(DESCONTOS!$C$3:$BD$62,MATCH($A34,DESCONTOS!$B$3:$B$62,0),MATCH(EDATE($A$2,-12),DESCONTOS!$C$2:$BD$2,0)),IFERROR(INDEX(DESCONTOS!$C$141:$BD$180,MATCH($A34,DESCONTOS!$B$141:$B$180,0),MATCH(EDATE($A$2,-12),DESCONTOS!$C$140:$BD$140,0)),0)))</x:f>
        <x:v>270.23</x:v>
      </x:c>
      <x:c r="K34" s="699" t="n">
        <x:f>IF($A34="","",IFERROR(INDEX('CADASTRO DE LOJAS'!$I$3:$I$41,MATCH($A$2,'CADASTRO DE LOJAS'!$H$3:$H$41,0)),6000))</x:f>
        <x:v>6000</x:v>
      </x:c>
      <x:c r="L34" s="701" t="str">
        <x:f>IF($A34="","",IF(D34&gt;K34,"SIM","NÃO"))</x:f>
        <x:v>SIM</x:v>
      </x:c>
    </x:row>
    <x:row r="35" ht="20" customHeight="1">
      <x:c r="A35" s="32" t="n">
        <x:f>IF('CADASTRO DE LOJAS'!E36="SIM",'CADASTRO DE LOJAS'!B36,"")</x:f>
        <x:v>33</x:v>
      </x:c>
      <x:c r="B35" s="697" t="str">
        <x:f>IF($A35="","",'CADASTRO DE LOJAS'!F36)</x:f>
        <x:v>ML33 - CAMPINAS AMOREIRAS</x:v>
      </x:c>
      <x:c r="C35" s="713" t="str">
        <x:f>IF($A35="","",'CADASTRO DE LOJAS'!D36)</x:f>
        <x:v>RAÍZES DO LAR</x:v>
      </x:c>
      <x:c r="D35" s="699" t="n">
        <x:f>IF($A35="","",IFERROR(INDEX(ETIQUETAS!$C$3:$AO$102,MATCH($A35,ETIQUETAS!$B$3:$B$102,0),MATCH($A$2,ETIQUETAS!$C$2:$AO$2,0)),0))</x:f>
        <x:v>9133</x:v>
      </x:c>
      <x:c r="E35" s="722" t="n">
        <x:f>IF($A35="","",IFERROR(INDEX('DIVERGÊNCIAS'!$C$3:$AO$102,MATCH($A35,'DIVERGÊNCIAS'!$B$3:$B$102,0),MATCH($A$2,'DIVERGÊNCIAS'!$C$2:$AO$2,0)),0))</x:f>
        <x:v>128</x:v>
      </x:c>
      <x:c r="F35" s="722" t="n">
        <x:f>IF($A35="","",IFERROR(INDEX('SEM PREÇO'!$C$3:$AO$102,MATCH($A35,'SEM PREÇO'!$B$3:$B$102,0),MATCH($A$2,'SEM PREÇO'!$C$2:$AO$2,0)),0))</x:f>
        <x:v>80</x:v>
      </x:c>
      <x:c r="G35" s="699" t="n">
        <x:f>IF($A35="","",IFERROR(INDEX(DESCONTOS!$C$66:$BD$125,MATCH($A35,DESCONTOS!$B$66:$B$125,0),MATCH($A$2,DESCONTOS!$C$65:$BD$65,0)),IFERROR(INDEX(DESCONTOS!$C$183:$BD$222,MATCH($A35,DESCONTOS!$B$183:$B$222,0),MATCH($A$2,DESCONTOS!$C$182:$BD$182,0)),0)))</x:f>
        <x:v>31</x:v>
      </x:c>
      <x:c r="H35" s="410" t="n">
        <x:f>IF($A35="","",IFERROR(INDEX(DESCONTOS!$C$3:$BD$62,MATCH($A35,DESCONTOS!$B$3:$B$62,0),MATCH($A$2,DESCONTOS!$C$2:$BD$2,0)),IFERROR(INDEX(DESCONTOS!$C$141:$BD$180,MATCH($A35,DESCONTOS!$B$141:$B$180,0),MATCH($A$2,DESCONTOS!$C$140:$BD$140,0)),0)))</x:f>
        <x:v>132.09</x:v>
      </x:c>
      <x:c r="I35" s="699" t="n">
        <x:f>IF($A35="","",IFERROR(INDEX(DESCONTOS!$C$66:$BD$125,MATCH($A35,DESCONTOS!$B$66:$B$125,0),MATCH(EDATE($A$2,-12),DESCONTOS!$C$65:$BD$65,0)),IFERROR(INDEX(DESCONTOS!$C$183:$BD$222,MATCH($A35,DESCONTOS!$B$183:$B$222,0),MATCH(EDATE($A$2,-12),DESCONTOS!$C$182:$BD$182,0)),0)))</x:f>
        <x:v>16</x:v>
      </x:c>
      <x:c r="J35" s="410" t="n">
        <x:f>IF($A35="","",IFERROR(INDEX(DESCONTOS!$C$3:$BD$62,MATCH($A35,DESCONTOS!$B$3:$B$62,0),MATCH(EDATE($A$2,-12),DESCONTOS!$C$2:$BD$2,0)),IFERROR(INDEX(DESCONTOS!$C$141:$BD$180,MATCH($A35,DESCONTOS!$B$141:$B$180,0),MATCH(EDATE($A$2,-12),DESCONTOS!$C$140:$BD$140,0)),0)))</x:f>
        <x:v>146.78</x:v>
      </x:c>
      <x:c r="K35" s="699" t="n">
        <x:f>IF($A35="","",IFERROR(INDEX('CADASTRO DE LOJAS'!$I$3:$I$41,MATCH($A$2,'CADASTRO DE LOJAS'!$H$3:$H$41,0)),6000))</x:f>
        <x:v>6000</x:v>
      </x:c>
      <x:c r="L35" s="701" t="str">
        <x:f>IF($A35="","",IF(D35&gt;K35,"SIM","NÃO"))</x:f>
        <x:v>SIM</x:v>
      </x:c>
    </x:row>
    <x:row r="36" ht="20" customHeight="1">
      <x:c r="A36" s="32" t="n">
        <x:f>IF('CADASTRO DE LOJAS'!E37="SIM",'CADASTRO DE LOJAS'!B37,"")</x:f>
        <x:v>34</x:v>
      </x:c>
      <x:c r="B36" s="697" t="str">
        <x:f>IF($A36="","",'CADASTRO DE LOJAS'!F37)</x:f>
        <x:v>ML34 - JUNDIAÍ MULTI MODAS</x:v>
      </x:c>
      <x:c r="C36" s="713" t="str">
        <x:f>IF($A36="","",'CADASTRO DE LOJAS'!D37)</x:f>
        <x:v>GUARDIÕES DA CHAMA</x:v>
      </x:c>
      <x:c r="D36" s="699" t="n">
        <x:f>IF($A36="","",IFERROR(INDEX(ETIQUETAS!$C$3:$AO$102,MATCH($A36,ETIQUETAS!$B$3:$B$102,0),MATCH($A$2,ETIQUETAS!$C$2:$AO$2,0)),0))</x:f>
        <x:v>6200</x:v>
      </x:c>
      <x:c r="E36" s="722" t="n">
        <x:f>IF($A36="","",IFERROR(INDEX('DIVERGÊNCIAS'!$C$3:$AO$102,MATCH($A36,'DIVERGÊNCIAS'!$B$3:$B$102,0),MATCH($A$2,'DIVERGÊNCIAS'!$C$2:$AO$2,0)),0))</x:f>
        <x:v>84</x:v>
      </x:c>
      <x:c r="F36" s="722" t="n">
        <x:f>IF($A36="","",IFERROR(INDEX('SEM PREÇO'!$C$3:$AO$102,MATCH($A36,'SEM PREÇO'!$B$3:$B$102,0),MATCH($A$2,'SEM PREÇO'!$C$2:$AO$2,0)),0))</x:f>
        <x:v>359</x:v>
      </x:c>
      <x:c r="G36" s="699" t="n">
        <x:f>IF($A36="","",IFERROR(INDEX(DESCONTOS!$C$66:$BD$125,MATCH($A36,DESCONTOS!$B$66:$B$125,0),MATCH($A$2,DESCONTOS!$C$65:$BD$65,0)),IFERROR(INDEX(DESCONTOS!$C$183:$BD$222,MATCH($A36,DESCONTOS!$B$183:$B$222,0),MATCH($A$2,DESCONTOS!$C$182:$BD$182,0)),0)))</x:f>
        <x:v>100</x:v>
      </x:c>
      <x:c r="H36" s="410" t="n">
        <x:f>IF($A36="","",IFERROR(INDEX(DESCONTOS!$C$3:$BD$62,MATCH($A36,DESCONTOS!$B$3:$B$62,0),MATCH($A$2,DESCONTOS!$C$2:$BD$2,0)),IFERROR(INDEX(DESCONTOS!$C$141:$BD$180,MATCH($A36,DESCONTOS!$B$141:$B$180,0),MATCH($A$2,DESCONTOS!$C$140:$BD$140,0)),0)))</x:f>
        <x:v>1034.02</x:v>
      </x:c>
      <x:c r="I36" s="699" t="n">
        <x:f>IF($A36="","",IFERROR(INDEX(DESCONTOS!$C$66:$BD$125,MATCH($A36,DESCONTOS!$B$66:$B$125,0),MATCH(EDATE($A$2,-12),DESCONTOS!$C$65:$BD$65,0)),IFERROR(INDEX(DESCONTOS!$C$183:$BD$222,MATCH($A36,DESCONTOS!$B$183:$B$222,0),MATCH(EDATE($A$2,-12),DESCONTOS!$C$182:$BD$182,0)),0)))</x:f>
        <x:v>24</x:v>
      </x:c>
      <x:c r="J36" s="410" t="n">
        <x:f>IF($A36="","",IFERROR(INDEX(DESCONTOS!$C$3:$BD$62,MATCH($A36,DESCONTOS!$B$3:$B$62,0),MATCH(EDATE($A$2,-12),DESCONTOS!$C$2:$BD$2,0)),IFERROR(INDEX(DESCONTOS!$C$141:$BD$180,MATCH($A36,DESCONTOS!$B$141:$B$180,0),MATCH(EDATE($A$2,-12),DESCONTOS!$C$140:$BD$140,0)),0)))</x:f>
        <x:v>306.73</x:v>
      </x:c>
      <x:c r="K36" s="699" t="n">
        <x:f>IF($A36="","",IFERROR(INDEX('CADASTRO DE LOJAS'!$I$3:$I$41,MATCH($A$2,'CADASTRO DE LOJAS'!$H$3:$H$41,0)),6000))</x:f>
        <x:v>6000</x:v>
      </x:c>
      <x:c r="L36" s="701" t="str">
        <x:f>IF($A36="","",IF(D36&gt;K36,"SIM","NÃO"))</x:f>
        <x:v>SIM</x:v>
      </x:c>
    </x:row>
    <x:row r="37" ht="20" customHeight="1">
      <x:c r="A37" s="32" t="n">
        <x:f>IF('CADASTRO DE LOJAS'!E38="SIM",'CADASTRO DE LOJAS'!B38,"")</x:f>
        <x:v>35</x:v>
      </x:c>
      <x:c r="B37" s="697" t="str">
        <x:f>IF($A37="","",'CADASTRO DE LOJAS'!F38)</x:f>
        <x:v>ML35 - CAMPINAS BANDEIRAS</x:v>
      </x:c>
      <x:c r="C37" s="713" t="str">
        <x:f>IF($A37="","",'CADASTRO DE LOJAS'!D38)</x:f>
        <x:v>RAÍZES DO LAR</x:v>
      </x:c>
      <x:c r="D37" s="699" t="n">
        <x:f>IF($A37="","",IFERROR(INDEX(ETIQUETAS!$C$3:$AO$102,MATCH($A37,ETIQUETAS!$B$3:$B$102,0),MATCH($A$2,ETIQUETAS!$C$2:$AO$2,0)),0))</x:f>
        <x:v>6013</x:v>
      </x:c>
      <x:c r="E37" s="722" t="n">
        <x:f>IF($A37="","",IFERROR(INDEX('DIVERGÊNCIAS'!$C$3:$AO$102,MATCH($A37,'DIVERGÊNCIAS'!$B$3:$B$102,0),MATCH($A$2,'DIVERGÊNCIAS'!$C$2:$AO$2,0)),0))</x:f>
        <x:v>105</x:v>
      </x:c>
      <x:c r="F37" s="722" t="n">
        <x:f>IF($A37="","",IFERROR(INDEX('SEM PREÇO'!$C$3:$AO$102,MATCH($A37,'SEM PREÇO'!$B$3:$B$102,0),MATCH($A$2,'SEM PREÇO'!$C$2:$AO$2,0)),0))</x:f>
        <x:v>25</x:v>
      </x:c>
      <x:c r="G37" s="699" t="n">
        <x:f>IF($A37="","",IFERROR(INDEX(DESCONTOS!$C$66:$BD$125,MATCH($A37,DESCONTOS!$B$66:$B$125,0),MATCH($A$2,DESCONTOS!$C$65:$BD$65,0)),IFERROR(INDEX(DESCONTOS!$C$183:$BD$222,MATCH($A37,DESCONTOS!$B$183:$B$222,0),MATCH($A$2,DESCONTOS!$C$182:$BD$182,0)),0)))</x:f>
        <x:v>126</x:v>
      </x:c>
      <x:c r="H37" s="410" t="n">
        <x:f>IF($A37="","",IFERROR(INDEX(DESCONTOS!$C$3:$BD$62,MATCH($A37,DESCONTOS!$B$3:$B$62,0),MATCH($A$2,DESCONTOS!$C$2:$BD$2,0)),IFERROR(INDEX(DESCONTOS!$C$141:$BD$180,MATCH($A37,DESCONTOS!$B$141:$B$180,0),MATCH($A$2,DESCONTOS!$C$140:$BD$140,0)),0)))</x:f>
        <x:v>1220.49</x:v>
      </x:c>
      <x:c r="I37" s="699" t="n">
        <x:f>IF($A37="","",IFERROR(INDEX(DESCONTOS!$C$66:$BD$125,MATCH($A37,DESCONTOS!$B$66:$B$125,0),MATCH(EDATE($A$2,-12),DESCONTOS!$C$65:$BD$65,0)),IFERROR(INDEX(DESCONTOS!$C$183:$BD$222,MATCH($A37,DESCONTOS!$B$183:$B$222,0),MATCH(EDATE($A$2,-12),DESCONTOS!$C$182:$BD$182,0)),0)))</x:f>
        <x:v>22</x:v>
      </x:c>
      <x:c r="J37" s="410" t="n">
        <x:f>IF($A37="","",IFERROR(INDEX(DESCONTOS!$C$3:$BD$62,MATCH($A37,DESCONTOS!$B$3:$B$62,0),MATCH(EDATE($A$2,-12),DESCONTOS!$C$2:$BD$2,0)),IFERROR(INDEX(DESCONTOS!$C$141:$BD$180,MATCH($A37,DESCONTOS!$B$141:$B$180,0),MATCH(EDATE($A$2,-12),DESCONTOS!$C$140:$BD$140,0)),0)))</x:f>
        <x:v>188.32</x:v>
      </x:c>
      <x:c r="K37" s="699" t="n">
        <x:f>IF($A37="","",IFERROR(INDEX('CADASTRO DE LOJAS'!$I$3:$I$41,MATCH($A$2,'CADASTRO DE LOJAS'!$H$3:$H$41,0)),6000))</x:f>
        <x:v>6000</x:v>
      </x:c>
      <x:c r="L37" s="701" t="str">
        <x:f>IF($A37="","",IF(D37&gt;K37,"SIM","NÃO"))</x:f>
        <x:v>SIM</x:v>
      </x:c>
    </x:row>
    <x:row r="38" ht="20" customHeight="1">
      <x:c r="A38" s="32" t="n">
        <x:f>IF('CADASTRO DE LOJAS'!E39="SIM",'CADASTRO DE LOJAS'!B39,"")</x:f>
        <x:v>36</x:v>
      </x:c>
      <x:c r="B38" s="697" t="str">
        <x:f>IF($A38="","",'CADASTRO DE LOJAS'!F39)</x:f>
        <x:v>ML36 - LENÇÓIS PAULISTA</x:v>
      </x:c>
      <x:c r="C38" s="713" t="str">
        <x:f>IF($A38="","",'CADASTRO DE LOJAS'!D39)</x:f>
        <x:v>OCEANO MARA</x:v>
      </x:c>
      <x:c r="D38" s="699" t="n">
        <x:f>IF($A38="","",IFERROR(INDEX(ETIQUETAS!$C$3:$AO$102,MATCH($A38,ETIQUETAS!$B$3:$B$102,0),MATCH($A$2,ETIQUETAS!$C$2:$AO$2,0)),0))</x:f>
        <x:v>2956</x:v>
      </x:c>
      <x:c r="E38" s="722" t="n">
        <x:f>IF($A38="","",IFERROR(INDEX('DIVERGÊNCIAS'!$C$3:$AO$102,MATCH($A38,'DIVERGÊNCIAS'!$B$3:$B$102,0),MATCH($A$2,'DIVERGÊNCIAS'!$C$2:$AO$2,0)),0))</x:f>
        <x:v>14</x:v>
      </x:c>
      <x:c r="F38" s="722" t="n">
        <x:f>IF($A38="","",IFERROR(INDEX('SEM PREÇO'!$C$3:$AO$102,MATCH($A38,'SEM PREÇO'!$B$3:$B$102,0),MATCH($A$2,'SEM PREÇO'!$C$2:$AO$2,0)),0))</x:f>
        <x:v>66</x:v>
      </x:c>
      <x:c r="G38" s="699" t="n">
        <x:f>IF($A38="","",IFERROR(INDEX(DESCONTOS!$C$66:$BD$125,MATCH($A38,DESCONTOS!$B$66:$B$125,0),MATCH($A$2,DESCONTOS!$C$65:$BD$65,0)),IFERROR(INDEX(DESCONTOS!$C$183:$BD$222,MATCH($A38,DESCONTOS!$B$183:$B$222,0),MATCH($A$2,DESCONTOS!$C$182:$BD$182,0)),0)))</x:f>
        <x:v>47</x:v>
      </x:c>
      <x:c r="H38" s="410" t="n">
        <x:f>IF($A38="","",IFERROR(INDEX(DESCONTOS!$C$3:$BD$62,MATCH($A38,DESCONTOS!$B$3:$B$62,0),MATCH($A$2,DESCONTOS!$C$2:$BD$2,0)),IFERROR(INDEX(DESCONTOS!$C$141:$BD$180,MATCH($A38,DESCONTOS!$B$141:$B$180,0),MATCH($A$2,DESCONTOS!$C$140:$BD$140,0)),0)))</x:f>
        <x:v>444.91</x:v>
      </x:c>
      <x:c r="I38" s="699" t="n">
        <x:f>IF($A38="","",IFERROR(INDEX(DESCONTOS!$C$66:$BD$125,MATCH($A38,DESCONTOS!$B$66:$B$125,0),MATCH(EDATE($A$2,-12),DESCONTOS!$C$65:$BD$65,0)),IFERROR(INDEX(DESCONTOS!$C$183:$BD$222,MATCH($A38,DESCONTOS!$B$183:$B$222,0),MATCH(EDATE($A$2,-12),DESCONTOS!$C$182:$BD$182,0)),0)))</x:f>
        <x:v>23</x:v>
      </x:c>
      <x:c r="J38" s="410" t="n">
        <x:f>IF($A38="","",IFERROR(INDEX(DESCONTOS!$C$3:$BD$62,MATCH($A38,DESCONTOS!$B$3:$B$62,0),MATCH(EDATE($A$2,-12),DESCONTOS!$C$2:$BD$2,0)),IFERROR(INDEX(DESCONTOS!$C$141:$BD$180,MATCH($A38,DESCONTOS!$B$141:$B$180,0),MATCH(EDATE($A$2,-12),DESCONTOS!$C$140:$BD$140,0)),0)))</x:f>
        <x:v>221</x:v>
      </x:c>
      <x:c r="K38" s="699" t="n">
        <x:f>IF($A38="","",IFERROR(INDEX('CADASTRO DE LOJAS'!$I$3:$I$41,MATCH($A$2,'CADASTRO DE LOJAS'!$H$3:$H$41,0)),6000))</x:f>
        <x:v>6000</x:v>
      </x:c>
      <x:c r="L38" s="701" t="str">
        <x:f>IF($A38="","",IF(D38&gt;K38,"SIM","NÃO"))</x:f>
        <x:v>NÃO</x:v>
      </x:c>
    </x:row>
    <x:row r="39" ht="20" customHeight="1">
      <x:c r="A39" s="32" t="n">
        <x:f>IF('CADASTRO DE LOJAS'!E40="SIM",'CADASTRO DE LOJAS'!B40,"")</x:f>
        <x:v>37</x:v>
      </x:c>
      <x:c r="B39" s="697" t="str">
        <x:f>IF($A39="","",'CADASTRO DE LOJAS'!F40)</x:f>
        <x:v>ML37 - MARÍLIA</x:v>
      </x:c>
      <x:c r="C39" s="713" t="str">
        <x:f>IF($A39="","",'CADASTRO DE LOJAS'!D40)</x:f>
        <x:v>OCEANO MARA</x:v>
      </x:c>
      <x:c r="D39" s="699" t="n">
        <x:f>IF($A39="","",IFERROR(INDEX(ETIQUETAS!$C$3:$AO$102,MATCH($A39,ETIQUETAS!$B$3:$B$102,0),MATCH($A$2,ETIQUETAS!$C$2:$AO$2,0)),0))</x:f>
        <x:v>6022</x:v>
      </x:c>
      <x:c r="E39" s="722" t="n">
        <x:f>IF($A39="","",IFERROR(INDEX('DIVERGÊNCIAS'!$C$3:$AO$102,MATCH($A39,'DIVERGÊNCIAS'!$B$3:$B$102,0),MATCH($A$2,'DIVERGÊNCIAS'!$C$2:$AO$2,0)),0))</x:f>
        <x:v>9</x:v>
      </x:c>
      <x:c r="F39" s="722" t="n">
        <x:f>IF($A39="","",IFERROR(INDEX('SEM PREÇO'!$C$3:$AO$102,MATCH($A39,'SEM PREÇO'!$B$3:$B$102,0),MATCH($A$2,'SEM PREÇO'!$C$2:$AO$2,0)),0))</x:f>
        <x:v>56</x:v>
      </x:c>
      <x:c r="G39" s="699" t="n">
        <x:f>IF($A39="","",IFERROR(INDEX(DESCONTOS!$C$66:$BD$125,MATCH($A39,DESCONTOS!$B$66:$B$125,0),MATCH($A$2,DESCONTOS!$C$65:$BD$65,0)),IFERROR(INDEX(DESCONTOS!$C$183:$BD$222,MATCH($A39,DESCONTOS!$B$183:$B$222,0),MATCH($A$2,DESCONTOS!$C$182:$BD$182,0)),0)))</x:f>
        <x:v>136</x:v>
      </x:c>
      <x:c r="H39" s="410" t="n">
        <x:f>IF($A39="","",IFERROR(INDEX(DESCONTOS!$C$3:$BD$62,MATCH($A39,DESCONTOS!$B$3:$B$62,0),MATCH($A$2,DESCONTOS!$C$2:$BD$2,0)),IFERROR(INDEX(DESCONTOS!$C$141:$BD$180,MATCH($A39,DESCONTOS!$B$141:$B$180,0),MATCH($A$2,DESCONTOS!$C$140:$BD$140,0)),0)))</x:f>
        <x:v>1771.82</x:v>
      </x:c>
      <x:c r="I39" s="699" t="n">
        <x:f>IF($A39="","",IFERROR(INDEX(DESCONTOS!$C$66:$BD$125,MATCH($A39,DESCONTOS!$B$66:$B$125,0),MATCH(EDATE($A$2,-12),DESCONTOS!$C$65:$BD$65,0)),IFERROR(INDEX(DESCONTOS!$C$183:$BD$222,MATCH($A39,DESCONTOS!$B$183:$B$222,0),MATCH(EDATE($A$2,-12),DESCONTOS!$C$182:$BD$182,0)),0)))</x:f>
        <x:v>53</x:v>
      </x:c>
      <x:c r="J39" s="410" t="n">
        <x:f>IF($A39="","",IFERROR(INDEX(DESCONTOS!$C$3:$BD$62,MATCH($A39,DESCONTOS!$B$3:$B$62,0),MATCH(EDATE($A$2,-12),DESCONTOS!$C$2:$BD$2,0)),IFERROR(INDEX(DESCONTOS!$C$141:$BD$180,MATCH($A39,DESCONTOS!$B$141:$B$180,0),MATCH(EDATE($A$2,-12),DESCONTOS!$C$140:$BD$140,0)),0)))</x:f>
        <x:v>738.01</x:v>
      </x:c>
      <x:c r="K39" s="699" t="n">
        <x:f>IF($A39="","",IFERROR(INDEX('CADASTRO DE LOJAS'!$I$3:$I$41,MATCH($A$2,'CADASTRO DE LOJAS'!$H$3:$H$41,0)),6000))</x:f>
        <x:v>6000</x:v>
      </x:c>
      <x:c r="L39" s="701" t="str">
        <x:f>IF($A39="","",IF(D39&gt;K39,"SIM","NÃO"))</x:f>
        <x:v>SIM</x:v>
      </x:c>
    </x:row>
    <x:row r="40" ht="20" customHeight="1">
      <x:c r="A40" s="32" t="n">
        <x:f>IF('CADASTRO DE LOJAS'!E41="SIM",'CADASTRO DE LOJAS'!B41,"")</x:f>
        <x:v>38</x:v>
      </x:c>
      <x:c r="B40" s="697" t="str">
        <x:f>IF($A40="","",'CADASTRO DE LOJAS'!F41)</x:f>
        <x:v>ML38 - HORTOLÂNDIA</x:v>
      </x:c>
      <x:c r="C40" s="713" t="str">
        <x:f>IF($A40="","",'CADASTRO DE LOJAS'!D41)</x:f>
        <x:v>GUARDIÕES DA LUZ</x:v>
      </x:c>
      <x:c r="D40" s="699" t="n">
        <x:f>IF($A40="","",IFERROR(INDEX(ETIQUETAS!$C$3:$AO$102,MATCH($A40,ETIQUETAS!$B$3:$B$102,0),MATCH($A$2,ETIQUETAS!$C$2:$AO$2,0)),0))</x:f>
        <x:v>7668</x:v>
      </x:c>
      <x:c r="E40" s="722" t="n">
        <x:f>IF($A40="","",IFERROR(INDEX('DIVERGÊNCIAS'!$C$3:$AO$102,MATCH($A40,'DIVERGÊNCIAS'!$B$3:$B$102,0),MATCH($A$2,'DIVERGÊNCIAS'!$C$2:$AO$2,0)),0))</x:f>
        <x:v>14</x:v>
      </x:c>
      <x:c r="F40" s="722" t="n">
        <x:f>IF($A40="","",IFERROR(INDEX('SEM PREÇO'!$C$3:$AO$102,MATCH($A40,'SEM PREÇO'!$B$3:$B$102,0),MATCH($A$2,'SEM PREÇO'!$C$2:$AO$2,0)),0))</x:f>
        <x:v>17</x:v>
      </x:c>
      <x:c r="G40" s="699" t="n">
        <x:f>IF($A40="","",IFERROR(INDEX(DESCONTOS!$C$66:$BD$125,MATCH($A40,DESCONTOS!$B$66:$B$125,0),MATCH($A$2,DESCONTOS!$C$65:$BD$65,0)),IFERROR(INDEX(DESCONTOS!$C$183:$BD$222,MATCH($A40,DESCONTOS!$B$183:$B$222,0),MATCH($A$2,DESCONTOS!$C$182:$BD$182,0)),0)))</x:f>
        <x:v>98</x:v>
      </x:c>
      <x:c r="H40" s="410" t="n">
        <x:f>IF($A40="","",IFERROR(INDEX(DESCONTOS!$C$3:$BD$62,MATCH($A40,DESCONTOS!$B$3:$B$62,0),MATCH($A$2,DESCONTOS!$C$2:$BD$2,0)),IFERROR(INDEX(DESCONTOS!$C$141:$BD$180,MATCH($A40,DESCONTOS!$B$141:$B$180,0),MATCH($A$2,DESCONTOS!$C$140:$BD$140,0)),0)))</x:f>
        <x:v>561.42</x:v>
      </x:c>
      <x:c r="I40" s="699" t="n">
        <x:f>IF($A40="","",IFERROR(INDEX(DESCONTOS!$C$66:$BD$125,MATCH($A40,DESCONTOS!$B$66:$B$125,0),MATCH(EDATE($A$2,-12),DESCONTOS!$C$65:$BD$65,0)),IFERROR(INDEX(DESCONTOS!$C$183:$BD$222,MATCH($A40,DESCONTOS!$B$183:$B$222,0),MATCH(EDATE($A$2,-12),DESCONTOS!$C$182:$BD$182,0)),0)))</x:f>
        <x:v>9</x:v>
      </x:c>
      <x:c r="J40" s="410" t="n">
        <x:f>IF($A40="","",IFERROR(INDEX(DESCONTOS!$C$3:$BD$62,MATCH($A40,DESCONTOS!$B$3:$B$62,0),MATCH(EDATE($A$2,-12),DESCONTOS!$C$2:$BD$2,0)),IFERROR(INDEX(DESCONTOS!$C$141:$BD$180,MATCH($A40,DESCONTOS!$B$141:$B$180,0),MATCH(EDATE($A$2,-12),DESCONTOS!$C$140:$BD$140,0)),0)))</x:f>
        <x:v>98</x:v>
      </x:c>
      <x:c r="K40" s="699" t="n">
        <x:f>IF($A40="","",IFERROR(INDEX('CADASTRO DE LOJAS'!$I$3:$I$41,MATCH($A$2,'CADASTRO DE LOJAS'!$H$3:$H$41,0)),6000))</x:f>
        <x:v>6000</x:v>
      </x:c>
      <x:c r="L40" s="701" t="str">
        <x:f>IF($A40="","",IF(D40&gt;K40,"SIM","NÃO"))</x:f>
        <x:v>SIM</x:v>
      </x:c>
    </x:row>
    <x:row r="41" ht="20" customHeight="1">
      <x:c r="A41" s="32" t="n">
        <x:f>IF('CADASTRO DE LOJAS'!E42="SIM",'CADASTRO DE LOJAS'!B42,"")</x:f>
        <x:v>39</x:v>
      </x:c>
      <x:c r="B41" s="697" t="str">
        <x:f>IF($A41="","",'CADASTRO DE LOJAS'!F42)</x:f>
        <x:v>ML39 - CAMPINAS DOM PEDRO</x:v>
      </x:c>
      <x:c r="C41" s="713" t="str">
        <x:f>IF($A41="","",'CADASTRO DE LOJAS'!D42)</x:f>
        <x:v>GUARDIÕES DA LUZ</x:v>
      </x:c>
      <x:c r="D41" s="699" t="n">
        <x:f>IF($A41="","",IFERROR(INDEX(ETIQUETAS!$C$3:$AO$102,MATCH($A41,ETIQUETAS!$B$3:$B$102,0),MATCH($A$2,ETIQUETAS!$C$2:$AO$2,0)),0))</x:f>
        <x:v>936</x:v>
      </x:c>
      <x:c r="E41" s="722" t="n">
        <x:f>IF($A41="","",IFERROR(INDEX('DIVERGÊNCIAS'!$C$3:$AO$102,MATCH($A41,'DIVERGÊNCIAS'!$B$3:$B$102,0),MATCH($A$2,'DIVERGÊNCIAS'!$C$2:$AO$2,0)),0))</x:f>
        <x:v>18</x:v>
      </x:c>
      <x:c r="F41" s="722" t="n">
        <x:f>IF($A41="","",IFERROR(INDEX('SEM PREÇO'!$C$3:$AO$102,MATCH($A41,'SEM PREÇO'!$B$3:$B$102,0),MATCH($A$2,'SEM PREÇO'!$C$2:$AO$2,0)),0))</x:f>
        <x:v>1</x:v>
      </x:c>
      <x:c r="G41" s="699" t="n">
        <x:f>IF($A41="","",IFERROR(INDEX(DESCONTOS!$C$66:$BD$125,MATCH($A41,DESCONTOS!$B$66:$B$125,0),MATCH($A$2,DESCONTOS!$C$65:$BD$65,0)),IFERROR(INDEX(DESCONTOS!$C$183:$BD$222,MATCH($A41,DESCONTOS!$B$183:$B$222,0),MATCH($A$2,DESCONTOS!$C$182:$BD$182,0)),0)))</x:f>
        <x:v>51</x:v>
      </x:c>
      <x:c r="H41" s="410" t="n">
        <x:f>IF($A41="","",IFERROR(INDEX(DESCONTOS!$C$3:$BD$62,MATCH($A41,DESCONTOS!$B$3:$B$62,0),MATCH($A$2,DESCONTOS!$C$2:$BD$2,0)),IFERROR(INDEX(DESCONTOS!$C$141:$BD$180,MATCH($A41,DESCONTOS!$B$141:$B$180,0),MATCH($A$2,DESCONTOS!$C$140:$BD$140,0)),0)))</x:f>
        <x:v>423.31</x:v>
      </x:c>
      <x:c r="I41" s="699" t="n">
        <x:f>IF($A41="","",IFERROR(INDEX(DESCONTOS!$C$66:$BD$125,MATCH($A41,DESCONTOS!$B$66:$B$125,0),MATCH(EDATE($A$2,-12),DESCONTOS!$C$65:$BD$65,0)),IFERROR(INDEX(DESCONTOS!$C$183:$BD$222,MATCH($A41,DESCONTOS!$B$183:$B$222,0),MATCH(EDATE($A$2,-12),DESCONTOS!$C$182:$BD$182,0)),0)))</x:f>
        <x:v>34</x:v>
      </x:c>
      <x:c r="J41" s="410" t="n">
        <x:f>IF($A41="","",IFERROR(INDEX(DESCONTOS!$C$3:$BD$62,MATCH($A41,DESCONTOS!$B$3:$B$62,0),MATCH(EDATE($A$2,-12),DESCONTOS!$C$2:$BD$2,0)),IFERROR(INDEX(DESCONTOS!$C$141:$BD$180,MATCH($A41,DESCONTOS!$B$141:$B$180,0),MATCH(EDATE($A$2,-12),DESCONTOS!$C$140:$BD$140,0)),0)))</x:f>
        <x:v>328.91</x:v>
      </x:c>
      <x:c r="K41" s="699" t="n">
        <x:f>IF($A41="","",IFERROR(INDEX('CADASTRO DE LOJAS'!$I$3:$I$41,MATCH($A$2,'CADASTRO DE LOJAS'!$H$3:$H$41,0)),6000))</x:f>
        <x:v>6000</x:v>
      </x:c>
      <x:c r="L41" s="701" t="str">
        <x:f>IF($A41="","",IF(D41&gt;K41,"SIM","NÃO"))</x:f>
        <x:v>NÃO</x:v>
      </x:c>
    </x:row>
    <x:row r="42" ht="20" customHeight="1">
      <x:c r="A42" s="32" t="n">
        <x:f>IF('CADASTRO DE LOJAS'!E43="SIM",'CADASTRO DE LOJAS'!B43,"")</x:f>
        <x:v>40</x:v>
      </x:c>
      <x:c r="B42" s="697" t="str">
        <x:f>IF($A42="","",'CADASTRO DE LOJAS'!F43)</x:f>
        <x:v>ML40 - LEME</x:v>
      </x:c>
      <x:c r="C42" s="713" t="str">
        <x:f>IF($A42="","",'CADASTRO DE LOJAS'!D43)</x:f>
        <x:v>RAIO BRAVO</x:v>
      </x:c>
      <x:c r="D42" s="699" t="n">
        <x:f>IF($A42="","",IFERROR(INDEX(ETIQUETAS!$C$3:$AO$102,MATCH($A42,ETIQUETAS!$B$3:$B$102,0),MATCH($A$2,ETIQUETAS!$C$2:$AO$2,0)),0))</x:f>
        <x:v>6061</x:v>
      </x:c>
      <x:c r="E42" s="722" t="n">
        <x:f>IF($A42="","",IFERROR(INDEX('DIVERGÊNCIAS'!$C$3:$AO$102,MATCH($A42,'DIVERGÊNCIAS'!$B$3:$B$102,0),MATCH($A$2,'DIVERGÊNCIAS'!$C$2:$AO$2,0)),0))</x:f>
        <x:v>38</x:v>
      </x:c>
      <x:c r="F42" s="722" t="n">
        <x:f>IF($A42="","",IFERROR(INDEX('SEM PREÇO'!$C$3:$AO$102,MATCH($A42,'SEM PREÇO'!$B$3:$B$102,0),MATCH($A$2,'SEM PREÇO'!$C$2:$AO$2,0)),0))</x:f>
        <x:v>74</x:v>
      </x:c>
      <x:c r="G42" s="699" t="n">
        <x:f>IF($A42="","",IFERROR(INDEX(DESCONTOS!$C$66:$BD$125,MATCH($A42,DESCONTOS!$B$66:$B$125,0),MATCH($A$2,DESCONTOS!$C$65:$BD$65,0)),IFERROR(INDEX(DESCONTOS!$C$183:$BD$222,MATCH($A42,DESCONTOS!$B$183:$B$222,0),MATCH($A$2,DESCONTOS!$C$182:$BD$182,0)),0)))</x:f>
        <x:v>177</x:v>
      </x:c>
      <x:c r="H42" s="410" t="n">
        <x:f>IF($A42="","",IFERROR(INDEX(DESCONTOS!$C$3:$BD$62,MATCH($A42,DESCONTOS!$B$3:$B$62,0),MATCH($A$2,DESCONTOS!$C$2:$BD$2,0)),IFERROR(INDEX(DESCONTOS!$C$141:$BD$180,MATCH($A42,DESCONTOS!$B$141:$B$180,0),MATCH($A$2,DESCONTOS!$C$140:$BD$140,0)),0)))</x:f>
        <x:v>1573.46</x:v>
      </x:c>
      <x:c r="I42" s="699" t="n">
        <x:f>IF($A42="","",IFERROR(INDEX(DESCONTOS!$C$66:$BD$125,MATCH($A42,DESCONTOS!$B$66:$B$125,0),MATCH(EDATE($A$2,-12),DESCONTOS!$C$65:$BD$65,0)),IFERROR(INDEX(DESCONTOS!$C$183:$BD$222,MATCH($A42,DESCONTOS!$B$183:$B$222,0),MATCH(EDATE($A$2,-12),DESCONTOS!$C$182:$BD$182,0)),0)))</x:f>
        <x:v>12</x:v>
      </x:c>
      <x:c r="J42" s="410" t="n">
        <x:f>IF($A42="","",IFERROR(INDEX(DESCONTOS!$C$3:$BD$62,MATCH($A42,DESCONTOS!$B$3:$B$62,0),MATCH(EDATE($A$2,-12),DESCONTOS!$C$2:$BD$2,0)),IFERROR(INDEX(DESCONTOS!$C$141:$BD$180,MATCH($A42,DESCONTOS!$B$141:$B$180,0),MATCH(EDATE($A$2,-12),DESCONTOS!$C$140:$BD$140,0)),0)))</x:f>
        <x:v>100.5</x:v>
      </x:c>
      <x:c r="K42" s="699" t="n">
        <x:f>IF($A42="","",IFERROR(INDEX('CADASTRO DE LOJAS'!$I$3:$I$41,MATCH($A$2,'CADASTRO DE LOJAS'!$H$3:$H$41,0)),6000))</x:f>
        <x:v>6000</x:v>
      </x:c>
      <x:c r="L42" s="701" t="str">
        <x:f>IF($A42="","",IF(D42&gt;K42,"SIM","NÃO"))</x:f>
        <x:v>SIM</x:v>
      </x:c>
    </x:row>
    <x:row r="43" ht="20" customHeight="1">
      <x:c r="A43" s="32" t="n">
        <x:f>IF('CADASTRO DE LOJAS'!E44="SIM",'CADASTRO DE LOJAS'!B44,"")</x:f>
        <x:v>41</x:v>
      </x:c>
      <x:c r="B43" s="697" t="str">
        <x:f>IF($A43="","",'CADASTRO DE LOJAS'!F44)</x:f>
        <x:v>ML41 - BOTUCATU</x:v>
      </x:c>
      <x:c r="C43" s="713" t="str">
        <x:f>IF($A43="","",'CADASTRO DE LOJAS'!D44)</x:f>
        <x:v>OCEANO MARA</x:v>
      </x:c>
      <x:c r="D43" s="699" t="n">
        <x:f>IF($A43="","",IFERROR(INDEX(ETIQUETAS!$C$3:$AO$102,MATCH($A43,ETIQUETAS!$B$3:$B$102,0),MATCH($A$2,ETIQUETAS!$C$2:$AO$2,0)),0))</x:f>
        <x:v>4485</x:v>
      </x:c>
      <x:c r="E43" s="722" t="n">
        <x:f>IF($A43="","",IFERROR(INDEX('DIVERGÊNCIAS'!$C$3:$AO$102,MATCH($A43,'DIVERGÊNCIAS'!$B$3:$B$102,0),MATCH($A$2,'DIVERGÊNCIAS'!$C$2:$AO$2,0)),0))</x:f>
        <x:v>121</x:v>
      </x:c>
      <x:c r="F43" s="722" t="n">
        <x:f>IF($A43="","",IFERROR(INDEX('SEM PREÇO'!$C$3:$AO$102,MATCH($A43,'SEM PREÇO'!$B$3:$B$102,0),MATCH($A$2,'SEM PREÇO'!$C$2:$AO$2,0)),0))</x:f>
        <x:v>641</x:v>
      </x:c>
      <x:c r="G43" s="699" t="n">
        <x:f>IF($A43="","",IFERROR(INDEX(DESCONTOS!$C$66:$BD$125,MATCH($A43,DESCONTOS!$B$66:$B$125,0),MATCH($A$2,DESCONTOS!$C$65:$BD$65,0)),IFERROR(INDEX(DESCONTOS!$C$183:$BD$222,MATCH($A43,DESCONTOS!$B$183:$B$222,0),MATCH($A$2,DESCONTOS!$C$182:$BD$182,0)),0)))</x:f>
        <x:v>51</x:v>
      </x:c>
      <x:c r="H43" s="410" t="n">
        <x:f>IF($A43="","",IFERROR(INDEX(DESCONTOS!$C$3:$BD$62,MATCH($A43,DESCONTOS!$B$3:$B$62,0),MATCH($A$2,DESCONTOS!$C$2:$BD$2,0)),IFERROR(INDEX(DESCONTOS!$C$141:$BD$180,MATCH($A43,DESCONTOS!$B$141:$B$180,0),MATCH($A$2,DESCONTOS!$C$140:$BD$140,0)),0)))</x:f>
        <x:v>423.31</x:v>
      </x:c>
      <x:c r="I43" s="699" t="n">
        <x:f>IF($A43="","",IFERROR(INDEX(DESCONTOS!$C$66:$BD$125,MATCH($A43,DESCONTOS!$B$66:$B$125,0),MATCH(EDATE($A$2,-12),DESCONTOS!$C$65:$BD$65,0)),IFERROR(INDEX(DESCONTOS!$C$183:$BD$222,MATCH($A43,DESCONTOS!$B$183:$B$222,0),MATCH(EDATE($A$2,-12),DESCONTOS!$C$182:$BD$182,0)),0)))</x:f>
        <x:v>20</x:v>
      </x:c>
      <x:c r="J43" s="410" t="n">
        <x:f>IF($A43="","",IFERROR(INDEX(DESCONTOS!$C$3:$BD$62,MATCH($A43,DESCONTOS!$B$3:$B$62,0),MATCH(EDATE($A$2,-12),DESCONTOS!$C$2:$BD$2,0)),IFERROR(INDEX(DESCONTOS!$C$141:$BD$180,MATCH($A43,DESCONTOS!$B$141:$B$180,0),MATCH(EDATE($A$2,-12),DESCONTOS!$C$140:$BD$140,0)),0)))</x:f>
        <x:v>386.14</x:v>
      </x:c>
      <x:c r="K43" s="699" t="n">
        <x:f>IF($A43="","",IFERROR(INDEX('CADASTRO DE LOJAS'!$I$3:$I$41,MATCH($A$2,'CADASTRO DE LOJAS'!$H$3:$H$41,0)),6000))</x:f>
        <x:v>6000</x:v>
      </x:c>
      <x:c r="L43" s="701" t="str">
        <x:f>IF($A43="","",IF(D43&gt;K43,"SIM","NÃO"))</x:f>
        <x:v>NÃO</x:v>
      </x:c>
    </x:row>
    <x:row r="44" ht="20" customHeight="1">
      <x:c r="A44" s="32" t="n">
        <x:f>IF('CADASTRO DE LOJAS'!E45="SIM",'CADASTRO DE LOJAS'!B45,"")</x:f>
        <x:v>42</x:v>
      </x:c>
      <x:c r="B44" s="697" t="str">
        <x:f>IF($A44="","",'CADASTRO DE LOJAS'!F45)</x:f>
        <x:v>ML42 - BAURU SHOP</x:v>
      </x:c>
      <x:c r="C44" s="713" t="str">
        <x:f>IF($A44="","",'CADASTRO DE LOJAS'!D45)</x:f>
        <x:v>OCEANO MARA</x:v>
      </x:c>
      <x:c r="D44" s="699" t="n">
        <x:f>IF($A44="","",IFERROR(INDEX(ETIQUETAS!$C$3:$AO$102,MATCH($A44,ETIQUETAS!$B$3:$B$102,0),MATCH($A$2,ETIQUETAS!$C$2:$AO$2,0)),0))</x:f>
        <x:v>1216</x:v>
      </x:c>
      <x:c r="E44" s="722" t="n">
        <x:f>IF($A44="","",IFERROR(INDEX('DIVERGÊNCIAS'!$C$3:$AO$102,MATCH($A44,'DIVERGÊNCIAS'!$B$3:$B$102,0),MATCH($A$2,'DIVERGÊNCIAS'!$C$2:$AO$2,0)),0))</x:f>
        <x:v>27</x:v>
      </x:c>
      <x:c r="F44" s="722" t="n">
        <x:f>IF($A44="","",IFERROR(INDEX('SEM PREÇO'!$C$3:$AO$102,MATCH($A44,'SEM PREÇO'!$B$3:$B$102,0),MATCH($A$2,'SEM PREÇO'!$C$2:$AO$2,0)),0))</x:f>
        <x:v>40</x:v>
      </x:c>
      <x:c r="G44" s="699" t="n">
        <x:f>IF($A44="","",IFERROR(INDEX(DESCONTOS!$C$66:$BD$125,MATCH($A44,DESCONTOS!$B$66:$B$125,0),MATCH($A$2,DESCONTOS!$C$65:$BD$65,0)),IFERROR(INDEX(DESCONTOS!$C$183:$BD$222,MATCH($A44,DESCONTOS!$B$183:$B$222,0),MATCH($A$2,DESCONTOS!$C$182:$BD$182,0)),0)))</x:f>
        <x:v>101</x:v>
      </x:c>
      <x:c r="H44" s="410" t="n">
        <x:f>IF($A44="","",IFERROR(INDEX(DESCONTOS!$C$3:$BD$62,MATCH($A44,DESCONTOS!$B$3:$B$62,0),MATCH($A$2,DESCONTOS!$C$2:$BD$2,0)),IFERROR(INDEX(DESCONTOS!$C$141:$BD$180,MATCH($A44,DESCONTOS!$B$141:$B$180,0),MATCH($A$2,DESCONTOS!$C$140:$BD$140,0)),0)))</x:f>
        <x:v>1659.36</x:v>
      </x:c>
      <x:c r="I44" s="699" t="n">
        <x:f>IF($A44="","",IFERROR(INDEX(DESCONTOS!$C$66:$BD$125,MATCH($A44,DESCONTOS!$B$66:$B$125,0),MATCH(EDATE($A$2,-12),DESCONTOS!$C$65:$BD$65,0)),IFERROR(INDEX(DESCONTOS!$C$183:$BD$222,MATCH($A44,DESCONTOS!$B$183:$B$222,0),MATCH(EDATE($A$2,-12),DESCONTOS!$C$182:$BD$182,0)),0)))</x:f>
        <x:v>30</x:v>
      </x:c>
      <x:c r="J44" s="410" t="n">
        <x:f>IF($A44="","",IFERROR(INDEX(DESCONTOS!$C$3:$BD$62,MATCH($A44,DESCONTOS!$B$3:$B$62,0),MATCH(EDATE($A$2,-12),DESCONTOS!$C$2:$BD$2,0)),IFERROR(INDEX(DESCONTOS!$C$141:$BD$180,MATCH($A44,DESCONTOS!$B$141:$B$180,0),MATCH(EDATE($A$2,-12),DESCONTOS!$C$140:$BD$140,0)),0)))</x:f>
        <x:v>357.75</x:v>
      </x:c>
      <x:c r="K44" s="699" t="n">
        <x:f>IF($A44="","",IFERROR(INDEX('CADASTRO DE LOJAS'!$I$3:$I$41,MATCH($A$2,'CADASTRO DE LOJAS'!$H$3:$H$41,0)),6000))</x:f>
        <x:v>6000</x:v>
      </x:c>
      <x:c r="L44" s="701" t="str">
        <x:f>IF($A44="","",IF(D44&gt;K44,"SIM","NÃO"))</x:f>
        <x:v>NÃO</x:v>
      </x:c>
    </x:row>
    <x:row r="45" ht="20" customHeight="1">
      <x:c r="A45" s="32" t="n">
        <x:f>IF('CADASTRO DE LOJAS'!E46="SIM",'CADASTRO DE LOJAS'!B46,"")</x:f>
        <x:v>43</x:v>
      </x:c>
      <x:c r="B45" s="697" t="str">
        <x:f>IF($A45="","",'CADASTRO DE LOJAS'!F46)</x:f>
        <x:v>ML43 - FRANCA</x:v>
      </x:c>
      <x:c r="C45" s="713" t="str">
        <x:f>IF($A45="","",'CADASTRO DE LOJAS'!D46)</x:f>
        <x:v>VENTO DOURADO</x:v>
      </x:c>
      <x:c r="D45" s="699" t="n">
        <x:f>IF($A45="","",IFERROR(INDEX(ETIQUETAS!$C$3:$AO$102,MATCH($A45,ETIQUETAS!$B$3:$B$102,0),MATCH($A$2,ETIQUETAS!$C$2:$AO$2,0)),0))</x:f>
        <x:v>3926</x:v>
      </x:c>
      <x:c r="E45" s="722" t="n">
        <x:f>IF($A45="","",IFERROR(INDEX('DIVERGÊNCIAS'!$C$3:$AO$102,MATCH($A45,'DIVERGÊNCIAS'!$B$3:$B$102,0),MATCH($A$2,'DIVERGÊNCIAS'!$C$2:$AO$2,0)),0))</x:f>
        <x:v>43</x:v>
      </x:c>
      <x:c r="F45" s="722" t="n">
        <x:f>IF($A45="","",IFERROR(INDEX('SEM PREÇO'!$C$3:$AO$102,MATCH($A45,'SEM PREÇO'!$B$3:$B$102,0),MATCH($A$2,'SEM PREÇO'!$C$2:$AO$2,0)),0))</x:f>
        <x:v>564</x:v>
      </x:c>
      <x:c r="G45" s="699" t="n">
        <x:f>IF($A45="","",IFERROR(INDEX(DESCONTOS!$C$66:$BD$125,MATCH($A45,DESCONTOS!$B$66:$B$125,0),MATCH($A$2,DESCONTOS!$C$65:$BD$65,0)),IFERROR(INDEX(DESCONTOS!$C$183:$BD$222,MATCH($A45,DESCONTOS!$B$183:$B$222,0),MATCH($A$2,DESCONTOS!$C$182:$BD$182,0)),0)))</x:f>
        <x:v>40</x:v>
      </x:c>
      <x:c r="H45" s="410" t="n">
        <x:f>IF($A45="","",IFERROR(INDEX(DESCONTOS!$C$3:$BD$62,MATCH($A45,DESCONTOS!$B$3:$B$62,0),MATCH($A$2,DESCONTOS!$C$2:$BD$2,0)),IFERROR(INDEX(DESCONTOS!$C$141:$BD$180,MATCH($A45,DESCONTOS!$B$141:$B$180,0),MATCH($A$2,DESCONTOS!$C$140:$BD$140,0)),0)))</x:f>
        <x:v>347.02</x:v>
      </x:c>
      <x:c r="I45" s="699" t="n">
        <x:f>IF($A45="","",IFERROR(INDEX(DESCONTOS!$C$66:$BD$125,MATCH($A45,DESCONTOS!$B$66:$B$125,0),MATCH(EDATE($A$2,-12),DESCONTOS!$C$65:$BD$65,0)),IFERROR(INDEX(DESCONTOS!$C$183:$BD$222,MATCH($A45,DESCONTOS!$B$183:$B$222,0),MATCH(EDATE($A$2,-12),DESCONTOS!$C$182:$BD$182,0)),0)))</x:f>
        <x:v>43</x:v>
      </x:c>
      <x:c r="J45" s="410" t="n">
        <x:f>IF($A45="","",IFERROR(INDEX(DESCONTOS!$C$3:$BD$62,MATCH($A45,DESCONTOS!$B$3:$B$62,0),MATCH(EDATE($A$2,-12),DESCONTOS!$C$2:$BD$2,0)),IFERROR(INDEX(DESCONTOS!$C$141:$BD$180,MATCH($A45,DESCONTOS!$B$141:$B$180,0),MATCH(EDATE($A$2,-12),DESCONTOS!$C$140:$BD$140,0)),0)))</x:f>
        <x:v>581.37</x:v>
      </x:c>
      <x:c r="K45" s="699" t="n">
        <x:f>IF($A45="","",IFERROR(INDEX('CADASTRO DE LOJAS'!$I$3:$I$41,MATCH($A$2,'CADASTRO DE LOJAS'!$H$3:$H$41,0)),6000))</x:f>
        <x:v>6000</x:v>
      </x:c>
      <x:c r="L45" s="701" t="str">
        <x:f>IF($A45="","",IF(D45&gt;K45,"SIM","NÃO"))</x:f>
        <x:v>NÃO</x:v>
      </x:c>
    </x:row>
    <x:row r="46" ht="20" customHeight="1">
      <x:c r="A46" s="32" t="n">
        <x:f>IF('CADASTRO DE LOJAS'!E47="SIM",'CADASTRO DE LOJAS'!B47,"")</x:f>
        <x:v>44</x:v>
      </x:c>
      <x:c r="B46" s="697" t="str">
        <x:f>IF($A46="","",'CADASTRO DE LOJAS'!F47)</x:f>
        <x:v>ML44 - AMPARO</x:v>
      </x:c>
      <x:c r="C46" s="713" t="str">
        <x:f>IF($A46="","",'CADASTRO DE LOJAS'!D47)</x:f>
        <x:v>GUARDIÕES DA LUZ</x:v>
      </x:c>
      <x:c r="D46" s="699" t="n">
        <x:f>IF($A46="","",IFERROR(INDEX(ETIQUETAS!$C$3:$AO$102,MATCH($A46,ETIQUETAS!$B$3:$B$102,0),MATCH($A$2,ETIQUETAS!$C$2:$AO$2,0)),0))</x:f>
        <x:v>6213</x:v>
      </x:c>
      <x:c r="E46" s="722" t="n">
        <x:f>IF($A46="","",IFERROR(INDEX('DIVERGÊNCIAS'!$C$3:$AO$102,MATCH($A46,'DIVERGÊNCIAS'!$B$3:$B$102,0),MATCH($A$2,'DIVERGÊNCIAS'!$C$2:$AO$2,0)),0))</x:f>
        <x:v>0</x:v>
      </x:c>
      <x:c r="F46" s="722" t="n">
        <x:f>IF($A46="","",IFERROR(INDEX('SEM PREÇO'!$C$3:$AO$102,MATCH($A46,'SEM PREÇO'!$B$3:$B$102,0),MATCH($A$2,'SEM PREÇO'!$C$2:$AO$2,0)),0))</x:f>
        <x:v>0</x:v>
      </x:c>
      <x:c r="G46" s="699" t="n">
        <x:f>IF($A46="","",IFERROR(INDEX(DESCONTOS!$C$66:$BD$125,MATCH($A46,DESCONTOS!$B$66:$B$125,0),MATCH($A$2,DESCONTOS!$C$65:$BD$65,0)),IFERROR(INDEX(DESCONTOS!$C$183:$BD$222,MATCH($A46,DESCONTOS!$B$183:$B$222,0),MATCH($A$2,DESCONTOS!$C$182:$BD$182,0)),0)))</x:f>
        <x:v>83</x:v>
      </x:c>
      <x:c r="H46" s="410" t="n">
        <x:f>IF($A46="","",IFERROR(INDEX(DESCONTOS!$C$3:$BD$62,MATCH($A46,DESCONTOS!$B$3:$B$62,0),MATCH($A$2,DESCONTOS!$C$2:$BD$2,0)),IFERROR(INDEX(DESCONTOS!$C$141:$BD$180,MATCH($A46,DESCONTOS!$B$141:$B$180,0),MATCH($A$2,DESCONTOS!$C$140:$BD$140,0)),0)))</x:f>
        <x:v>1224.07</x:v>
      </x:c>
      <x:c r="I46" s="699" t="n">
        <x:f>IF($A46="","",IFERROR(INDEX(DESCONTOS!$C$66:$BD$125,MATCH($A46,DESCONTOS!$B$66:$B$125,0),MATCH(EDATE($A$2,-12),DESCONTOS!$C$65:$BD$65,0)),IFERROR(INDEX(DESCONTOS!$C$183:$BD$222,MATCH($A46,DESCONTOS!$B$183:$B$222,0),MATCH(EDATE($A$2,-12),DESCONTOS!$C$182:$BD$182,0)),0)))</x:f>
        <x:v>6</x:v>
      </x:c>
      <x:c r="J46" s="410" t="n">
        <x:f>IF($A46="","",IFERROR(INDEX(DESCONTOS!$C$3:$BD$62,MATCH($A46,DESCONTOS!$B$3:$B$62,0),MATCH(EDATE($A$2,-12),DESCONTOS!$C$2:$BD$2,0)),IFERROR(INDEX(DESCONTOS!$C$141:$BD$180,MATCH($A46,DESCONTOS!$B$141:$B$180,0),MATCH(EDATE($A$2,-12),DESCONTOS!$C$140:$BD$140,0)),0)))</x:f>
        <x:v>48</x:v>
      </x:c>
      <x:c r="K46" s="699" t="n">
        <x:f>IF($A46="","",IFERROR(INDEX('CADASTRO DE LOJAS'!$I$3:$I$41,MATCH($A$2,'CADASTRO DE LOJAS'!$H$3:$H$41,0)),6000))</x:f>
        <x:v>6000</x:v>
      </x:c>
      <x:c r="L46" s="701" t="str">
        <x:f>IF($A46="","",IF(D46&gt;K46,"SIM","NÃO"))</x:f>
        <x:v>SIM</x:v>
      </x:c>
    </x:row>
    <x:row r="47" ht="20" customHeight="1">
      <x:c r="A47" s="32" t="n">
        <x:f>IF('CADASTRO DE LOJAS'!E48="SIM",'CADASTRO DE LOJAS'!B48,"")</x:f>
        <x:v>45</x:v>
      </x:c>
      <x:c r="B47" s="697" t="str">
        <x:f>IF($A47="","",'CADASTRO DE LOJAS'!F48)</x:f>
        <x:v>ML45 - ARARAS</x:v>
      </x:c>
      <x:c r="C47" s="713" t="str">
        <x:f>IF($A47="","",'CADASTRO DE LOJAS'!D48)</x:f>
        <x:v>RAIO BRAVO</x:v>
      </x:c>
      <x:c r="D47" s="699" t="n">
        <x:f>IF($A47="","",IFERROR(INDEX(ETIQUETAS!$C$3:$AO$102,MATCH($A47,ETIQUETAS!$B$3:$B$102,0),MATCH($A$2,ETIQUETAS!$C$2:$AO$2,0)),0))</x:f>
        <x:v>8274</x:v>
      </x:c>
      <x:c r="E47" s="722" t="n">
        <x:f>IF($A47="","",IFERROR(INDEX('DIVERGÊNCIAS'!$C$3:$AO$102,MATCH($A47,'DIVERGÊNCIAS'!$B$3:$B$102,0),MATCH($A$2,'DIVERGÊNCIAS'!$C$2:$AO$2,0)),0))</x:f>
        <x:v>76</x:v>
      </x:c>
      <x:c r="F47" s="722" t="n">
        <x:f>IF($A47="","",IFERROR(INDEX('SEM PREÇO'!$C$3:$AO$102,MATCH($A47,'SEM PREÇO'!$B$3:$B$102,0),MATCH($A$2,'SEM PREÇO'!$C$2:$AO$2,0)),0))</x:f>
        <x:v>140</x:v>
      </x:c>
      <x:c r="G47" s="699" t="n">
        <x:f>IF($A47="","",IFERROR(INDEX(DESCONTOS!$C$66:$BD$125,MATCH($A47,DESCONTOS!$B$66:$B$125,0),MATCH($A$2,DESCONTOS!$C$65:$BD$65,0)),IFERROR(INDEX(DESCONTOS!$C$183:$BD$222,MATCH($A47,DESCONTOS!$B$183:$B$222,0),MATCH($A$2,DESCONTOS!$C$182:$BD$182,0)),0)))</x:f>
        <x:v>5</x:v>
      </x:c>
      <x:c r="H47" s="410" t="n">
        <x:f>IF($A47="","",IFERROR(INDEX(DESCONTOS!$C$3:$BD$62,MATCH($A47,DESCONTOS!$B$3:$B$62,0),MATCH($A$2,DESCONTOS!$C$2:$BD$2,0)),IFERROR(INDEX(DESCONTOS!$C$141:$BD$180,MATCH($A47,DESCONTOS!$B$141:$B$180,0),MATCH($A$2,DESCONTOS!$C$140:$BD$140,0)),0)))</x:f>
        <x:v>15.2</x:v>
      </x:c>
      <x:c r="I47" s="699" t="n">
        <x:f>IF($A47="","",IFERROR(INDEX(DESCONTOS!$C$66:$BD$125,MATCH($A47,DESCONTOS!$B$66:$B$125,0),MATCH(EDATE($A$2,-12),DESCONTOS!$C$65:$BD$65,0)),IFERROR(INDEX(DESCONTOS!$C$183:$BD$222,MATCH($A47,DESCONTOS!$B$183:$B$222,0),MATCH(EDATE($A$2,-12),DESCONTOS!$C$182:$BD$182,0)),0)))</x:f>
        <x:v>5</x:v>
      </x:c>
      <x:c r="J47" s="410" t="n">
        <x:f>IF($A47="","",IFERROR(INDEX(DESCONTOS!$C$3:$BD$62,MATCH($A47,DESCONTOS!$B$3:$B$62,0),MATCH(EDATE($A$2,-12),DESCONTOS!$C$2:$BD$2,0)),IFERROR(INDEX(DESCONTOS!$C$141:$BD$180,MATCH($A47,DESCONTOS!$B$141:$B$180,0),MATCH(EDATE($A$2,-12),DESCONTOS!$C$140:$BD$140,0)),0)))</x:f>
        <x:v>90</x:v>
      </x:c>
      <x:c r="K47" s="699" t="n">
        <x:f>IF($A47="","",IFERROR(INDEX('CADASTRO DE LOJAS'!$I$3:$I$41,MATCH($A$2,'CADASTRO DE LOJAS'!$H$3:$H$41,0)),6000))</x:f>
        <x:v>6000</x:v>
      </x:c>
      <x:c r="L47" s="701" t="str">
        <x:f>IF($A47="","",IF(D47&gt;K47,"SIM","NÃO"))</x:f>
        <x:v>SIM</x:v>
      </x:c>
    </x:row>
    <x:row r="48" ht="20" customHeight="1">
      <x:c r="A48" s="32" t="n">
        <x:f>IF('CADASTRO DE LOJAS'!E49="SIM",'CADASTRO DE LOJAS'!B49,"")</x:f>
        <x:v>46</x:v>
      </x:c>
      <x:c r="B48" s="697" t="str">
        <x:f>IF($A48="","",'CADASTRO DE LOJAS'!F49)</x:f>
        <x:v>ML46 - FRANCA SHOP</x:v>
      </x:c>
      <x:c r="C48" s="713" t="str">
        <x:f>IF($A48="","",'CADASTRO DE LOJAS'!D49)</x:f>
        <x:v>VENTO DOURADO</x:v>
      </x:c>
      <x:c r="D48" s="699" t="n">
        <x:f>IF($A48="","",IFERROR(INDEX(ETIQUETAS!$C$3:$AO$102,MATCH($A48,ETIQUETAS!$B$3:$B$102,0),MATCH($A$2,ETIQUETAS!$C$2:$AO$2,0)),0))</x:f>
        <x:v>6005</x:v>
      </x:c>
      <x:c r="E48" s="722" t="n">
        <x:f>IF($A48="","",IFERROR(INDEX('DIVERGÊNCIAS'!$C$3:$AO$102,MATCH($A48,'DIVERGÊNCIAS'!$B$3:$B$102,0),MATCH($A$2,'DIVERGÊNCIAS'!$C$2:$AO$2,0)),0))</x:f>
        <x:v>10</x:v>
      </x:c>
      <x:c r="F48" s="722" t="n">
        <x:f>IF($A48="","",IFERROR(INDEX('SEM PREÇO'!$C$3:$AO$102,MATCH($A48,'SEM PREÇO'!$B$3:$B$102,0),MATCH($A$2,'SEM PREÇO'!$C$2:$AO$2,0)),0))</x:f>
        <x:v>299</x:v>
      </x:c>
      <x:c r="G48" s="699" t="n">
        <x:f>IF($A48="","",IFERROR(INDEX(DESCONTOS!$C$66:$BD$125,MATCH($A48,DESCONTOS!$B$66:$B$125,0),MATCH($A$2,DESCONTOS!$C$65:$BD$65,0)),IFERROR(INDEX(DESCONTOS!$C$183:$BD$222,MATCH($A48,DESCONTOS!$B$183:$B$222,0),MATCH($A$2,DESCONTOS!$C$182:$BD$182,0)),0)))</x:f>
        <x:v>41</x:v>
      </x:c>
      <x:c r="H48" s="410" t="n">
        <x:f>IF($A48="","",IFERROR(INDEX(DESCONTOS!$C$3:$BD$62,MATCH($A48,DESCONTOS!$B$3:$B$62,0),MATCH($A$2,DESCONTOS!$C$2:$BD$2,0)),IFERROR(INDEX(DESCONTOS!$C$141:$BD$180,MATCH($A48,DESCONTOS!$B$141:$B$180,0),MATCH($A$2,DESCONTOS!$C$140:$BD$140,0)),0)))</x:f>
        <x:v>559.3</x:v>
      </x:c>
      <x:c r="I48" s="699" t="n">
        <x:f>IF($A48="","",IFERROR(INDEX(DESCONTOS!$C$66:$BD$125,MATCH($A48,DESCONTOS!$B$66:$B$125,0),MATCH(EDATE($A$2,-12),DESCONTOS!$C$65:$BD$65,0)),IFERROR(INDEX(DESCONTOS!$C$183:$BD$222,MATCH($A48,DESCONTOS!$B$183:$B$222,0),MATCH(EDATE($A$2,-12),DESCONTOS!$C$182:$BD$182,0)),0)))</x:f>
        <x:v>29</x:v>
      </x:c>
      <x:c r="J48" s="410" t="n">
        <x:f>IF($A48="","",IFERROR(INDEX(DESCONTOS!$C$3:$BD$62,MATCH($A48,DESCONTOS!$B$3:$B$62,0),MATCH(EDATE($A$2,-12),DESCONTOS!$C$2:$BD$2,0)),IFERROR(INDEX(DESCONTOS!$C$141:$BD$180,MATCH($A48,DESCONTOS!$B$141:$B$180,0),MATCH(EDATE($A$2,-12),DESCONTOS!$C$140:$BD$140,0)),0)))</x:f>
        <x:v>329.64</x:v>
      </x:c>
      <x:c r="K48" s="699" t="n">
        <x:f>IF($A48="","",IFERROR(INDEX('CADASTRO DE LOJAS'!$I$3:$I$41,MATCH($A$2,'CADASTRO DE LOJAS'!$H$3:$H$41,0)),6000))</x:f>
        <x:v>6000</x:v>
      </x:c>
      <x:c r="L48" s="701" t="str">
        <x:f>IF($A48="","",IF(D48&gt;K48,"SIM","NÃO"))</x:f>
        <x:v>SIM</x:v>
      </x:c>
    </x:row>
    <x:row r="49" ht="20" customHeight="1">
      <x:c r="A49" s="32" t="n">
        <x:f>IF('CADASTRO DE LOJAS'!E50="SIM",'CADASTRO DE LOJAS'!B50,"")</x:f>
        <x:v>47</x:v>
      </x:c>
      <x:c r="B49" s="697" t="str">
        <x:f>IF($A49="","",'CADASTRO DE LOJAS'!F50)</x:f>
        <x:v>ML47 - PAULINIA</x:v>
      </x:c>
      <x:c r="C49" s="713" t="str">
        <x:f>IF($A49="","",'CADASTRO DE LOJAS'!D50)</x:f>
        <x:v>GUARDIÕES DA LUZ</x:v>
      </x:c>
      <x:c r="D49" s="699" t="n">
        <x:f>IF($A49="","",IFERROR(INDEX(ETIQUETAS!$C$3:$AO$102,MATCH($A49,ETIQUETAS!$B$3:$B$102,0),MATCH($A$2,ETIQUETAS!$C$2:$AO$2,0)),0))</x:f>
        <x:v>13373</x:v>
      </x:c>
      <x:c r="E49" s="722" t="n">
        <x:f>IF($A49="","",IFERROR(INDEX('DIVERGÊNCIAS'!$C$3:$AO$102,MATCH($A49,'DIVERGÊNCIAS'!$B$3:$B$102,0),MATCH($A$2,'DIVERGÊNCIAS'!$C$2:$AO$2,0)),0))</x:f>
        <x:v>27</x:v>
      </x:c>
      <x:c r="F49" s="722" t="n">
        <x:f>IF($A49="","",IFERROR(INDEX('SEM PREÇO'!$C$3:$AO$102,MATCH($A49,'SEM PREÇO'!$B$3:$B$102,0),MATCH($A$2,'SEM PREÇO'!$C$2:$AO$2,0)),0))</x:f>
        <x:v>22</x:v>
      </x:c>
      <x:c r="G49" s="699" t="n">
        <x:f>IF($A49="","",IFERROR(INDEX(DESCONTOS!$C$66:$BD$125,MATCH($A49,DESCONTOS!$B$66:$B$125,0),MATCH($A$2,DESCONTOS!$C$65:$BD$65,0)),IFERROR(INDEX(DESCONTOS!$C$183:$BD$222,MATCH($A49,DESCONTOS!$B$183:$B$222,0),MATCH($A$2,DESCONTOS!$C$182:$BD$182,0)),0)))</x:f>
        <x:v>108</x:v>
      </x:c>
      <x:c r="H49" s="410" t="n">
        <x:f>IF($A49="","",IFERROR(INDEX(DESCONTOS!$C$3:$BD$62,MATCH($A49,DESCONTOS!$B$3:$B$62,0),MATCH($A$2,DESCONTOS!$C$2:$BD$2,0)),IFERROR(INDEX(DESCONTOS!$C$141:$BD$180,MATCH($A49,DESCONTOS!$B$141:$B$180,0),MATCH($A$2,DESCONTOS!$C$140:$BD$140,0)),0)))</x:f>
        <x:v>1396.17</x:v>
      </x:c>
      <x:c r="I49" s="699" t="n">
        <x:f>IF($A49="","",IFERROR(INDEX(DESCONTOS!$C$66:$BD$125,MATCH($A49,DESCONTOS!$B$66:$B$125,0),MATCH(EDATE($A$2,-12),DESCONTOS!$C$65:$BD$65,0)),IFERROR(INDEX(DESCONTOS!$C$183:$BD$222,MATCH($A49,DESCONTOS!$B$183:$B$222,0),MATCH(EDATE($A$2,-12),DESCONTOS!$C$182:$BD$182,0)),0)))</x:f>
        <x:v>5</x:v>
      </x:c>
      <x:c r="J49" s="410" t="n">
        <x:f>IF($A49="","",IFERROR(INDEX(DESCONTOS!$C$3:$BD$62,MATCH($A49,DESCONTOS!$B$3:$B$62,0),MATCH(EDATE($A$2,-12),DESCONTOS!$C$2:$BD$2,0)),IFERROR(INDEX(DESCONTOS!$C$141:$BD$180,MATCH($A49,DESCONTOS!$B$141:$B$180,0),MATCH(EDATE($A$2,-12),DESCONTOS!$C$140:$BD$140,0)),0)))</x:f>
        <x:v>46</x:v>
      </x:c>
      <x:c r="K49" s="699" t="n">
        <x:f>IF($A49="","",IFERROR(INDEX('CADASTRO DE LOJAS'!$I$3:$I$41,MATCH($A$2,'CADASTRO DE LOJAS'!$H$3:$H$41,0)),6000))</x:f>
        <x:v>6000</x:v>
      </x:c>
      <x:c r="L49" s="701" t="str">
        <x:f>IF($A49="","",IF(D49&gt;K49,"SIM","NÃO"))</x:f>
        <x:v>SIM</x:v>
      </x:c>
    </x:row>
    <x:row r="50" ht="20" customHeight="1">
      <x:c r="A50" s="32" t="n">
        <x:f>IF('CADASTRO DE LOJAS'!E51="SIM",'CADASTRO DE LOJAS'!B51,"")</x:f>
        <x:v>48</x:v>
      </x:c>
      <x:c r="B50" s="697" t="str">
        <x:f>IF($A50="","",'CADASTRO DE LOJAS'!F51)</x:f>
        <x:v>ML48 - RIBEIRÃO SAUDADE</x:v>
      </x:c>
      <x:c r="C50" s="713" t="str">
        <x:f>IF($A50="","",'CADASTRO DE LOJAS'!D51)</x:f>
        <x:v>VENTO DOURADO</x:v>
      </x:c>
      <x:c r="D50" s="699" t="n">
        <x:f>IF($A50="","",IFERROR(INDEX(ETIQUETAS!$C$3:$AO$102,MATCH($A50,ETIQUETAS!$B$3:$B$102,0),MATCH($A$2,ETIQUETAS!$C$2:$AO$2,0)),0))</x:f>
        <x:v>4828</x:v>
      </x:c>
      <x:c r="E50" s="722" t="n">
        <x:f>IF($A50="","",IFERROR(INDEX('DIVERGÊNCIAS'!$C$3:$AO$102,MATCH($A50,'DIVERGÊNCIAS'!$B$3:$B$102,0),MATCH($A$2,'DIVERGÊNCIAS'!$C$2:$AO$2,0)),0))</x:f>
        <x:v>2</x:v>
      </x:c>
      <x:c r="F50" s="722" t="n">
        <x:f>IF($A50="","",IFERROR(INDEX('SEM PREÇO'!$C$3:$AO$102,MATCH($A50,'SEM PREÇO'!$B$3:$B$102,0),MATCH($A$2,'SEM PREÇO'!$C$2:$AO$2,0)),0))</x:f>
        <x:v>25</x:v>
      </x:c>
      <x:c r="G50" s="699" t="n">
        <x:f>IF($A50="","",IFERROR(INDEX(DESCONTOS!$C$66:$BD$125,MATCH($A50,DESCONTOS!$B$66:$B$125,0),MATCH($A$2,DESCONTOS!$C$65:$BD$65,0)),IFERROR(INDEX(DESCONTOS!$C$183:$BD$222,MATCH($A50,DESCONTOS!$B$183:$B$222,0),MATCH($A$2,DESCONTOS!$C$182:$BD$182,0)),0)))</x:f>
        <x:v>110</x:v>
      </x:c>
      <x:c r="H50" s="410" t="n">
        <x:f>IF($A50="","",IFERROR(INDEX(DESCONTOS!$C$3:$BD$62,MATCH($A50,DESCONTOS!$B$3:$B$62,0),MATCH($A$2,DESCONTOS!$C$2:$BD$2,0)),IFERROR(INDEX(DESCONTOS!$C$141:$BD$180,MATCH($A50,DESCONTOS!$B$141:$B$180,0),MATCH($A$2,DESCONTOS!$C$140:$BD$140,0)),0)))</x:f>
        <x:v>1355.83</x:v>
      </x:c>
      <x:c r="I50" s="699" t="n">
        <x:f>IF($A50="","",IFERROR(INDEX(DESCONTOS!$C$66:$BD$125,MATCH($A50,DESCONTOS!$B$66:$B$125,0),MATCH(EDATE($A$2,-12),DESCONTOS!$C$65:$BD$65,0)),IFERROR(INDEX(DESCONTOS!$C$183:$BD$222,MATCH($A50,DESCONTOS!$B$183:$B$222,0),MATCH(EDATE($A$2,-12),DESCONTOS!$C$182:$BD$182,0)),0)))</x:f>
        <x:v>19</x:v>
      </x:c>
      <x:c r="J50" s="410" t="n">
        <x:f>IF($A50="","",IFERROR(INDEX(DESCONTOS!$C$3:$BD$62,MATCH($A50,DESCONTOS!$B$3:$B$62,0),MATCH(EDATE($A$2,-12),DESCONTOS!$C$2:$BD$2,0)),IFERROR(INDEX(DESCONTOS!$C$141:$BD$180,MATCH($A50,DESCONTOS!$B$141:$B$180,0),MATCH(EDATE($A$2,-12),DESCONTOS!$C$140:$BD$140,0)),0)))</x:f>
        <x:v>192.5</x:v>
      </x:c>
      <x:c r="K50" s="699" t="n">
        <x:f>IF($A50="","",IFERROR(INDEX('CADASTRO DE LOJAS'!$I$3:$I$41,MATCH($A$2,'CADASTRO DE LOJAS'!$H$3:$H$41,0)),6000))</x:f>
        <x:v>6000</x:v>
      </x:c>
      <x:c r="L50" s="701" t="str">
        <x:f>IF($A50="","",IF(D50&gt;K50,"SIM","NÃO"))</x:f>
        <x:v>NÃO</x:v>
      </x:c>
    </x:row>
    <x:row r="51" ht="20" customHeight="1">
      <x:c r="A51" s="32" t="n">
        <x:f>IF('CADASTRO DE LOJAS'!E52="SIM",'CADASTRO DE LOJAS'!B52,"")</x:f>
        <x:v>49</x:v>
      </x:c>
      <x:c r="B51" s="697" t="str">
        <x:f>IF($A51="","",'CADASTRO DE LOJAS'!F52)</x:f>
        <x:v>ML49 - BOTUCATU MAJOR</x:v>
      </x:c>
      <x:c r="C51" s="713" t="str">
        <x:f>IF($A51="","",'CADASTRO DE LOJAS'!D52)</x:f>
        <x:v>OCEANO MARA</x:v>
      </x:c>
      <x:c r="D51" s="699" t="n">
        <x:f>IF($A51="","",IFERROR(INDEX(ETIQUETAS!$C$3:$AO$102,MATCH($A51,ETIQUETAS!$B$3:$B$102,0),MATCH($A$2,ETIQUETAS!$C$2:$AO$2,0)),0))</x:f>
        <x:v>5687</x:v>
      </x:c>
      <x:c r="E51" s="722" t="n">
        <x:f>IF($A51="","",IFERROR(INDEX('DIVERGÊNCIAS'!$C$3:$AO$102,MATCH($A51,'DIVERGÊNCIAS'!$B$3:$B$102,0),MATCH($A$2,'DIVERGÊNCIAS'!$C$2:$AO$2,0)),0))</x:f>
        <x:v>20</x:v>
      </x:c>
      <x:c r="F51" s="722" t="n">
        <x:f>IF($A51="","",IFERROR(INDEX('SEM PREÇO'!$C$3:$AO$102,MATCH($A51,'SEM PREÇO'!$B$3:$B$102,0),MATCH($A$2,'SEM PREÇO'!$C$2:$AO$2,0)),0))</x:f>
        <x:v>2683</x:v>
      </x:c>
      <x:c r="G51" s="699" t="n">
        <x:f>IF($A51="","",IFERROR(INDEX(DESCONTOS!$C$66:$BD$125,MATCH($A51,DESCONTOS!$B$66:$B$125,0),MATCH($A$2,DESCONTOS!$C$65:$BD$65,0)),IFERROR(INDEX(DESCONTOS!$C$183:$BD$222,MATCH($A51,DESCONTOS!$B$183:$B$222,0),MATCH($A$2,DESCONTOS!$C$182:$BD$182,0)),0)))</x:f>
        <x:v>128</x:v>
      </x:c>
      <x:c r="H51" s="410" t="n">
        <x:f>IF($A51="","",IFERROR(INDEX(DESCONTOS!$C$3:$BD$62,MATCH($A51,DESCONTOS!$B$3:$B$62,0),MATCH($A$2,DESCONTOS!$C$2:$BD$2,0)),IFERROR(INDEX(DESCONTOS!$C$141:$BD$180,MATCH($A51,DESCONTOS!$B$141:$B$180,0),MATCH($A$2,DESCONTOS!$C$140:$BD$140,0)),0)))</x:f>
        <x:v>1894.6</x:v>
      </x:c>
      <x:c r="I51" s="699" t="n">
        <x:f>IF($A51="","",IFERROR(INDEX(DESCONTOS!$C$66:$BD$125,MATCH($A51,DESCONTOS!$B$66:$B$125,0),MATCH(EDATE($A$2,-12),DESCONTOS!$C$65:$BD$65,0)),IFERROR(INDEX(DESCONTOS!$C$183:$BD$222,MATCH($A51,DESCONTOS!$B$183:$B$222,0),MATCH(EDATE($A$2,-12),DESCONTOS!$C$182:$BD$182,0)),0)))</x:f>
        <x:v>38</x:v>
      </x:c>
      <x:c r="J51" s="410" t="n">
        <x:f>IF($A51="","",IFERROR(INDEX(DESCONTOS!$C$3:$BD$62,MATCH($A51,DESCONTOS!$B$3:$B$62,0),MATCH(EDATE($A$2,-12),DESCONTOS!$C$2:$BD$2,0)),IFERROR(INDEX(DESCONTOS!$C$141:$BD$180,MATCH($A51,DESCONTOS!$B$141:$B$180,0),MATCH(EDATE($A$2,-12),DESCONTOS!$C$140:$BD$140,0)),0)))</x:f>
        <x:v>801.04</x:v>
      </x:c>
      <x:c r="K51" s="699" t="n">
        <x:f>IF($A51="","",IFERROR(INDEX('CADASTRO DE LOJAS'!$I$3:$I$41,MATCH($A$2,'CADASTRO DE LOJAS'!$H$3:$H$41,0)),6000))</x:f>
        <x:v>6000</x:v>
      </x:c>
      <x:c r="L51" s="701" t="str">
        <x:f>IF($A51="","",IF(D51&gt;K51,"SIM","NÃO"))</x:f>
        <x:v>NÃO</x:v>
      </x:c>
    </x:row>
    <x:row r="52" ht="20" customHeight="1">
      <x:c r="A52" s="32" t="n">
        <x:f>IF('CADASTRO DE LOJAS'!E53="SIM",'CADASTRO DE LOJAS'!B53,"")</x:f>
        <x:v>50</x:v>
      </x:c>
      <x:c r="B52" s="697" t="str">
        <x:f>IF($A52="","",'CADASTRO DE LOJAS'!F53)</x:f>
        <x:v>ML50 - CAMPINAS SAUDADE</x:v>
      </x:c>
      <x:c r="C52" s="713" t="str">
        <x:f>IF($A52="","",'CADASTRO DE LOJAS'!D53)</x:f>
        <x:v>RAÍZES DO LAR</x:v>
      </x:c>
      <x:c r="D52" s="699" t="n">
        <x:f>IF($A52="","",IFERROR(INDEX(ETIQUETAS!$C$3:$AO$102,MATCH($A52,ETIQUETAS!$B$3:$B$102,0),MATCH($A$2,ETIQUETAS!$C$2:$AO$2,0)),0))</x:f>
        <x:v>6058</x:v>
      </x:c>
      <x:c r="E52" s="722" t="n">
        <x:f>IF($A52="","",IFERROR(INDEX('DIVERGÊNCIAS'!$C$3:$AO$102,MATCH($A52,'DIVERGÊNCIAS'!$B$3:$B$102,0),MATCH($A$2,'DIVERGÊNCIAS'!$C$2:$AO$2,0)),0))</x:f>
        <x:v>87</x:v>
      </x:c>
      <x:c r="F52" s="722" t="n">
        <x:f>IF($A52="","",IFERROR(INDEX('SEM PREÇO'!$C$3:$AO$102,MATCH($A52,'SEM PREÇO'!$B$3:$B$102,0),MATCH($A$2,'SEM PREÇO'!$C$2:$AO$2,0)),0))</x:f>
        <x:v>183</x:v>
      </x:c>
      <x:c r="G52" s="699" t="n">
        <x:f>IF($A52="","",IFERROR(INDEX(DESCONTOS!$C$66:$BD$125,MATCH($A52,DESCONTOS!$B$66:$B$125,0),MATCH($A$2,DESCONTOS!$C$65:$BD$65,0)),IFERROR(INDEX(DESCONTOS!$C$183:$BD$222,MATCH($A52,DESCONTOS!$B$183:$B$222,0),MATCH($A$2,DESCONTOS!$C$182:$BD$182,0)),0)))</x:f>
        <x:v>47</x:v>
      </x:c>
      <x:c r="H52" s="410" t="n">
        <x:f>IF($A52="","",IFERROR(INDEX(DESCONTOS!$C$3:$BD$62,MATCH($A52,DESCONTOS!$B$3:$B$62,0),MATCH($A$2,DESCONTOS!$C$2:$BD$2,0)),IFERROR(INDEX(DESCONTOS!$C$141:$BD$180,MATCH($A52,DESCONTOS!$B$141:$B$180,0),MATCH($A$2,DESCONTOS!$C$140:$BD$140,0)),0)))</x:f>
        <x:v>581.67</x:v>
      </x:c>
      <x:c r="I52" s="699" t="n">
        <x:f>IF($A52="","",IFERROR(INDEX(DESCONTOS!$C$66:$BD$125,MATCH($A52,DESCONTOS!$B$66:$B$125,0),MATCH(EDATE($A$2,-12),DESCONTOS!$C$65:$BD$65,0)),IFERROR(INDEX(DESCONTOS!$C$183:$BD$222,MATCH($A52,DESCONTOS!$B$183:$B$222,0),MATCH(EDATE($A$2,-12),DESCONTOS!$C$182:$BD$182,0)),0)))</x:f>
        <x:v>17</x:v>
      </x:c>
      <x:c r="J52" s="410" t="n">
        <x:f>IF($A52="","",IFERROR(INDEX(DESCONTOS!$C$3:$BD$62,MATCH($A52,DESCONTOS!$B$3:$B$62,0),MATCH(EDATE($A$2,-12),DESCONTOS!$C$2:$BD$2,0)),IFERROR(INDEX(DESCONTOS!$C$141:$BD$180,MATCH($A52,DESCONTOS!$B$141:$B$180,0),MATCH(EDATE($A$2,-12),DESCONTOS!$C$140:$BD$140,0)),0)))</x:f>
        <x:v>196.39</x:v>
      </x:c>
      <x:c r="K52" s="699" t="n">
        <x:f>IF($A52="","",IFERROR(INDEX('CADASTRO DE LOJAS'!$I$3:$I$41,MATCH($A$2,'CADASTRO DE LOJAS'!$H$3:$H$41,0)),6000))</x:f>
        <x:v>6000</x:v>
      </x:c>
      <x:c r="L52" s="701" t="str">
        <x:f>IF($A52="","",IF(D52&gt;K52,"SIM","NÃO"))</x:f>
        <x:v>SIM</x:v>
      </x:c>
    </x:row>
    <x:row r="53" ht="20" customHeight="1">
      <x:c r="A53" s="32" t="n">
        <x:f>IF('CADASTRO DE LOJAS'!E54="SIM",'CADASTRO DE LOJAS'!B54,"")</x:f>
        <x:v>51</x:v>
      </x:c>
      <x:c r="B53" s="697" t="str">
        <x:f>IF($A53="","",'CADASTRO DE LOJAS'!F54)</x:f>
        <x:v>ML51 - ITATIBA</x:v>
      </x:c>
      <x:c r="C53" s="713" t="str">
        <x:f>IF($A53="","",'CADASTRO DE LOJAS'!D54)</x:f>
        <x:v>GUARDIÕES DA CHAMA</x:v>
      </x:c>
      <x:c r="D53" s="699" t="n">
        <x:f>IF($A53="","",IFERROR(INDEX(ETIQUETAS!$C$3:$AO$102,MATCH($A53,ETIQUETAS!$B$3:$B$102,0),MATCH($A$2,ETIQUETAS!$C$2:$AO$2,0)),0))</x:f>
        <x:v>7647</x:v>
      </x:c>
      <x:c r="E53" s="722" t="n">
        <x:f>IF($A53="","",IFERROR(INDEX('DIVERGÊNCIAS'!$C$3:$AO$102,MATCH($A53,'DIVERGÊNCIAS'!$B$3:$B$102,0),MATCH($A$2,'DIVERGÊNCIAS'!$C$2:$AO$2,0)),0))</x:f>
        <x:v>19</x:v>
      </x:c>
      <x:c r="F53" s="722" t="n">
        <x:f>IF($A53="","",IFERROR(INDEX('SEM PREÇO'!$C$3:$AO$102,MATCH($A53,'SEM PREÇO'!$B$3:$B$102,0),MATCH($A$2,'SEM PREÇO'!$C$2:$AO$2,0)),0))</x:f>
        <x:v>1</x:v>
      </x:c>
      <x:c r="G53" s="699" t="n">
        <x:f>IF($A53="","",IFERROR(INDEX(DESCONTOS!$C$66:$BD$125,MATCH($A53,DESCONTOS!$B$66:$B$125,0),MATCH($A$2,DESCONTOS!$C$65:$BD$65,0)),IFERROR(INDEX(DESCONTOS!$C$183:$BD$222,MATCH($A53,DESCONTOS!$B$183:$B$222,0),MATCH($A$2,DESCONTOS!$C$182:$BD$182,0)),0)))</x:f>
        <x:v>44</x:v>
      </x:c>
      <x:c r="H53" s="410" t="n">
        <x:f>IF($A53="","",IFERROR(INDEX(DESCONTOS!$C$3:$BD$62,MATCH($A53,DESCONTOS!$B$3:$B$62,0),MATCH($A$2,DESCONTOS!$C$2:$BD$2,0)),IFERROR(INDEX(DESCONTOS!$C$141:$BD$180,MATCH($A53,DESCONTOS!$B$141:$B$180,0),MATCH($A$2,DESCONTOS!$C$140:$BD$140,0)),0)))</x:f>
        <x:v>393.23</x:v>
      </x:c>
      <x:c r="I53" s="699" t="n">
        <x:f>IF($A53="","",IFERROR(INDEX(DESCONTOS!$C$66:$BD$125,MATCH($A53,DESCONTOS!$B$66:$B$125,0),MATCH(EDATE($A$2,-12),DESCONTOS!$C$65:$BD$65,0)),IFERROR(INDEX(DESCONTOS!$C$183:$BD$222,MATCH($A53,DESCONTOS!$B$183:$B$222,0),MATCH(EDATE($A$2,-12),DESCONTOS!$C$182:$BD$182,0)),0)))</x:f>
        <x:v>22</x:v>
      </x:c>
      <x:c r="J53" s="410" t="n">
        <x:f>IF($A53="","",IFERROR(INDEX(DESCONTOS!$C$3:$BD$62,MATCH($A53,DESCONTOS!$B$3:$B$62,0),MATCH(EDATE($A$2,-12),DESCONTOS!$C$2:$BD$2,0)),IFERROR(INDEX(DESCONTOS!$C$141:$BD$180,MATCH($A53,DESCONTOS!$B$141:$B$180,0),MATCH(EDATE($A$2,-12),DESCONTOS!$C$140:$BD$140,0)),0)))</x:f>
        <x:v>333</x:v>
      </x:c>
      <x:c r="K53" s="699" t="n">
        <x:f>IF($A53="","",IFERROR(INDEX('CADASTRO DE LOJAS'!$I$3:$I$41,MATCH($A$2,'CADASTRO DE LOJAS'!$H$3:$H$41,0)),6000))</x:f>
        <x:v>6000</x:v>
      </x:c>
      <x:c r="L53" s="701" t="str">
        <x:f>IF($A53="","",IF(D53&gt;K53,"SIM","NÃO"))</x:f>
        <x:v>SIM</x:v>
      </x:c>
    </x:row>
    <x:row r="54" ht="20" customHeight="1">
      <x:c r="A54" s="32" t="n">
        <x:f>IF('CADASTRO DE LOJAS'!E55="SIM",'CADASTRO DE LOJAS'!B55,"")</x:f>
        <x:v>52</x:v>
      </x:c>
      <x:c r="B54" s="697" t="str">
        <x:f>IF($A54="","",'CADASTRO DE LOJAS'!F55)</x:f>
        <x:v>ML52 - JAU</x:v>
      </x:c>
      <x:c r="C54" s="713" t="str">
        <x:f>IF($A54="","",'CADASTRO DE LOJAS'!D55)</x:f>
        <x:v>OCEANO MARA</x:v>
      </x:c>
      <x:c r="D54" s="699" t="n">
        <x:f>IF($A54="","",IFERROR(INDEX(ETIQUETAS!$C$3:$AO$102,MATCH($A54,ETIQUETAS!$B$3:$B$102,0),MATCH($A$2,ETIQUETAS!$C$2:$AO$2,0)),0))</x:f>
        <x:v>8063</x:v>
      </x:c>
      <x:c r="E54" s="722" t="n">
        <x:f>IF($A54="","",IFERROR(INDEX('DIVERGÊNCIAS'!$C$3:$AO$102,MATCH($A54,'DIVERGÊNCIAS'!$B$3:$B$102,0),MATCH($A$2,'DIVERGÊNCIAS'!$C$2:$AO$2,0)),0))</x:f>
        <x:v>146</x:v>
      </x:c>
      <x:c r="F54" s="722" t="n">
        <x:f>IF($A54="","",IFERROR(INDEX('SEM PREÇO'!$C$3:$AO$102,MATCH($A54,'SEM PREÇO'!$B$3:$B$102,0),MATCH($A$2,'SEM PREÇO'!$C$2:$AO$2,0)),0))</x:f>
        <x:v>481</x:v>
      </x:c>
      <x:c r="G54" s="699" t="n">
        <x:f>IF($A54="","",IFERROR(INDEX(DESCONTOS!$C$66:$BD$125,MATCH($A54,DESCONTOS!$B$66:$B$125,0),MATCH($A$2,DESCONTOS!$C$65:$BD$65,0)),IFERROR(INDEX(DESCONTOS!$C$183:$BD$222,MATCH($A54,DESCONTOS!$B$183:$B$222,0),MATCH($A$2,DESCONTOS!$C$182:$BD$182,0)),0)))</x:f>
        <x:v>47</x:v>
      </x:c>
      <x:c r="H54" s="410" t="n">
        <x:f>IF($A54="","",IFERROR(INDEX(DESCONTOS!$C$3:$BD$62,MATCH($A54,DESCONTOS!$B$3:$B$62,0),MATCH($A$2,DESCONTOS!$C$2:$BD$2,0)),IFERROR(INDEX(DESCONTOS!$C$141:$BD$180,MATCH($A54,DESCONTOS!$B$141:$B$180,0),MATCH($A$2,DESCONTOS!$C$140:$BD$140,0)),0)))</x:f>
        <x:v>581.67</x:v>
      </x:c>
      <x:c r="I54" s="699" t="n">
        <x:f>IF($A54="","",IFERROR(INDEX(DESCONTOS!$C$66:$BD$125,MATCH($A54,DESCONTOS!$B$66:$B$125,0),MATCH(EDATE($A$2,-12),DESCONTOS!$C$65:$BD$65,0)),IFERROR(INDEX(DESCONTOS!$C$183:$BD$222,MATCH($A54,DESCONTOS!$B$183:$B$222,0),MATCH(EDATE($A$2,-12),DESCONTOS!$C$182:$BD$182,0)),0)))</x:f>
        <x:v>38</x:v>
      </x:c>
      <x:c r="J54" s="410" t="n">
        <x:f>IF($A54="","",IFERROR(INDEX(DESCONTOS!$C$3:$BD$62,MATCH($A54,DESCONTOS!$B$3:$B$62,0),MATCH(EDATE($A$2,-12),DESCONTOS!$C$2:$BD$2,0)),IFERROR(INDEX(DESCONTOS!$C$141:$BD$180,MATCH($A54,DESCONTOS!$B$141:$B$180,0),MATCH(EDATE($A$2,-12),DESCONTOS!$C$140:$BD$140,0)),0)))</x:f>
        <x:v>365.62</x:v>
      </x:c>
      <x:c r="K54" s="699" t="n">
        <x:f>IF($A54="","",IFERROR(INDEX('CADASTRO DE LOJAS'!$I$3:$I$41,MATCH($A$2,'CADASTRO DE LOJAS'!$H$3:$H$41,0)),6000))</x:f>
        <x:v>6000</x:v>
      </x:c>
      <x:c r="L54" s="701" t="str">
        <x:f>IF($A54="","",IF(D54&gt;K54,"SIM","NÃO"))</x:f>
        <x:v>SIM</x:v>
      </x:c>
    </x:row>
    <x:row r="55" ht="20" customHeight="1">
      <x:c r="A55" s="32" t="n">
        <x:f>IF('CADASTRO DE LOJAS'!E56="SIM",'CADASTRO DE LOJAS'!B56,"")</x:f>
        <x:v>53</x:v>
      </x:c>
      <x:c r="B55" s="697" t="str">
        <x:f>IF($A55="","",'CADASTRO DE LOJAS'!F56)</x:f>
        <x:v>ML53 - PIRASSUNUNGA</x:v>
      </x:c>
      <x:c r="C55" s="713" t="str">
        <x:f>IF($A55="","",'CADASTRO DE LOJAS'!D56)</x:f>
        <x:v>RAIO BRAVO</x:v>
      </x:c>
      <x:c r="D55" s="699" t="n">
        <x:f>IF($A55="","",IFERROR(INDEX(ETIQUETAS!$C$3:$AO$102,MATCH($A55,ETIQUETAS!$B$3:$B$102,0),MATCH($A$2,ETIQUETAS!$C$2:$AO$2,0)),0))</x:f>
        <x:v>2723</x:v>
      </x:c>
      <x:c r="E55" s="722" t="n">
        <x:f>IF($A55="","",IFERROR(INDEX('DIVERGÊNCIAS'!$C$3:$AO$102,MATCH($A55,'DIVERGÊNCIAS'!$B$3:$B$102,0),MATCH($A$2,'DIVERGÊNCIAS'!$C$2:$AO$2,0)),0))</x:f>
        <x:v>26</x:v>
      </x:c>
      <x:c r="F55" s="722" t="n">
        <x:f>IF($A55="","",IFERROR(INDEX('SEM PREÇO'!$C$3:$AO$102,MATCH($A55,'SEM PREÇO'!$B$3:$B$102,0),MATCH($A$2,'SEM PREÇO'!$C$2:$AO$2,0)),0))</x:f>
        <x:v>16</x:v>
      </x:c>
      <x:c r="G55" s="699" t="n">
        <x:f>IF($A55="","",IFERROR(INDEX(DESCONTOS!$C$66:$BD$125,MATCH($A55,DESCONTOS!$B$66:$B$125,0),MATCH($A$2,DESCONTOS!$C$65:$BD$65,0)),IFERROR(INDEX(DESCONTOS!$C$183:$BD$222,MATCH($A55,DESCONTOS!$B$183:$B$222,0),MATCH($A$2,DESCONTOS!$C$182:$BD$182,0)),0)))</x:f>
        <x:v>85</x:v>
      </x:c>
      <x:c r="H55" s="410" t="n">
        <x:f>IF($A55="","",IFERROR(INDEX(DESCONTOS!$C$3:$BD$62,MATCH($A55,DESCONTOS!$B$3:$B$62,0),MATCH($A$2,DESCONTOS!$C$2:$BD$2,0)),IFERROR(INDEX(DESCONTOS!$C$141:$BD$180,MATCH($A55,DESCONTOS!$B$141:$B$180,0),MATCH($A$2,DESCONTOS!$C$140:$BD$140,0)),0)))</x:f>
        <x:v>932.76</x:v>
      </x:c>
      <x:c r="I55" s="699" t="n">
        <x:f>IF($A55="","",IFERROR(INDEX(DESCONTOS!$C$66:$BD$125,MATCH($A55,DESCONTOS!$B$66:$B$125,0),MATCH(EDATE($A$2,-12),DESCONTOS!$C$65:$BD$65,0)),IFERROR(INDEX(DESCONTOS!$C$183:$BD$222,MATCH($A55,DESCONTOS!$B$183:$B$222,0),MATCH(EDATE($A$2,-12),DESCONTOS!$C$182:$BD$182,0)),0)))</x:f>
        <x:v>8</x:v>
      </x:c>
      <x:c r="J55" s="410" t="n">
        <x:f>IF($A55="","",IFERROR(INDEX(DESCONTOS!$C$3:$BD$62,MATCH($A55,DESCONTOS!$B$3:$B$62,0),MATCH(EDATE($A$2,-12),DESCONTOS!$C$2:$BD$2,0)),IFERROR(INDEX(DESCONTOS!$C$141:$BD$180,MATCH($A55,DESCONTOS!$B$141:$B$180,0),MATCH(EDATE($A$2,-12),DESCONTOS!$C$140:$BD$140,0)),0)))</x:f>
        <x:v>36</x:v>
      </x:c>
      <x:c r="K55" s="699" t="n">
        <x:f>IF($A55="","",IFERROR(INDEX('CADASTRO DE LOJAS'!$I$3:$I$41,MATCH($A$2,'CADASTRO DE LOJAS'!$H$3:$H$41,0)),6000))</x:f>
        <x:v>6000</x:v>
      </x:c>
      <x:c r="L55" s="701" t="str">
        <x:f>IF($A55="","",IF(D55&gt;K55,"SIM","NÃO"))</x:f>
        <x:v>NÃO</x:v>
      </x:c>
    </x:row>
    <x:row r="56" ht="20" customHeight="1">
      <x:c r="A56" s="32" t="n">
        <x:f>IF('CADASTRO DE LOJAS'!E57="SIM",'CADASTRO DE LOJAS'!B57,"")</x:f>
        <x:v>54</x:v>
      </x:c>
      <x:c r="B56" s="697" t="str">
        <x:f>IF($A56="","",'CADASTRO DE LOJAS'!F57)</x:f>
        <x:v>ML54 - ARAÇATUBA</x:v>
      </x:c>
      <x:c r="C56" s="713" t="str">
        <x:f>IF($A56="","",'CADASTRO DE LOJAS'!D57)</x:f>
        <x:v>OCEANO MARA</x:v>
      </x:c>
      <x:c r="D56" s="699" t="n">
        <x:f>IF($A56="","",IFERROR(INDEX(ETIQUETAS!$C$3:$AO$102,MATCH($A56,ETIQUETAS!$B$3:$B$102,0),MATCH($A$2,ETIQUETAS!$C$2:$AO$2,0)),0))</x:f>
        <x:v>10178</x:v>
      </x:c>
      <x:c r="E56" s="722" t="n">
        <x:f>IF($A56="","",IFERROR(INDEX('DIVERGÊNCIAS'!$C$3:$AO$102,MATCH($A56,'DIVERGÊNCIAS'!$B$3:$B$102,0),MATCH($A$2,'DIVERGÊNCIAS'!$C$2:$AO$2,0)),0))</x:f>
        <x:v>22</x:v>
      </x:c>
      <x:c r="F56" s="722" t="n">
        <x:f>IF($A56="","",IFERROR(INDEX('SEM PREÇO'!$C$3:$AO$102,MATCH($A56,'SEM PREÇO'!$B$3:$B$102,0),MATCH($A$2,'SEM PREÇO'!$C$2:$AO$2,0)),0))</x:f>
        <x:v>1603</x:v>
      </x:c>
      <x:c r="G56" s="699" t="n">
        <x:f>IF($A56="","",IFERROR(INDEX(DESCONTOS!$C$66:$BD$125,MATCH($A56,DESCONTOS!$B$66:$B$125,0),MATCH($A$2,DESCONTOS!$C$65:$BD$65,0)),IFERROR(INDEX(DESCONTOS!$C$183:$BD$222,MATCH($A56,DESCONTOS!$B$183:$B$222,0),MATCH($A$2,DESCONTOS!$C$182:$BD$182,0)),0)))</x:f>
        <x:v>55</x:v>
      </x:c>
      <x:c r="H56" s="410" t="n">
        <x:f>IF($A56="","",IFERROR(INDEX(DESCONTOS!$C$3:$BD$62,MATCH($A56,DESCONTOS!$B$3:$B$62,0),MATCH($A$2,DESCONTOS!$C$2:$BD$2,0)),IFERROR(INDEX(DESCONTOS!$C$141:$BD$180,MATCH($A56,DESCONTOS!$B$141:$B$180,0),MATCH($A$2,DESCONTOS!$C$140:$BD$140,0)),0)))</x:f>
        <x:v>517.86</x:v>
      </x:c>
      <x:c r="I56" s="699" t="n">
        <x:f>IF($A56="","",IFERROR(INDEX(DESCONTOS!$C$66:$BD$125,MATCH($A56,DESCONTOS!$B$66:$B$125,0),MATCH(EDATE($A$2,-12),DESCONTOS!$C$65:$BD$65,0)),IFERROR(INDEX(DESCONTOS!$C$183:$BD$222,MATCH($A56,DESCONTOS!$B$183:$B$222,0),MATCH(EDATE($A$2,-12),DESCONTOS!$C$182:$BD$182,0)),0)))</x:f>
        <x:v>40</x:v>
      </x:c>
      <x:c r="J56" s="410" t="n">
        <x:f>IF($A56="","",IFERROR(INDEX(DESCONTOS!$C$3:$BD$62,MATCH($A56,DESCONTOS!$B$3:$B$62,0),MATCH(EDATE($A$2,-12),DESCONTOS!$C$2:$BD$2,0)),IFERROR(INDEX(DESCONTOS!$C$141:$BD$180,MATCH($A56,DESCONTOS!$B$141:$B$180,0),MATCH(EDATE($A$2,-12),DESCONTOS!$C$140:$BD$140,0)),0)))</x:f>
        <x:v>475.54</x:v>
      </x:c>
      <x:c r="K56" s="699" t="n">
        <x:f>IF($A56="","",IFERROR(INDEX('CADASTRO DE LOJAS'!$I$3:$I$41,MATCH($A$2,'CADASTRO DE LOJAS'!$H$3:$H$41,0)),6000))</x:f>
        <x:v>6000</x:v>
      </x:c>
      <x:c r="L56" s="701" t="str">
        <x:f>IF($A56="","",IF(D56&gt;K56,"SIM","NÃO"))</x:f>
        <x:v>SIM</x:v>
      </x:c>
    </x:row>
    <x:row r="57" ht="20" customHeight="1">
      <x:c r="A57" s="32" t="n">
        <x:f>IF('CADASTRO DE LOJAS'!E58="SIM",'CADASTRO DE LOJAS'!B58,"")</x:f>
        <x:v>55</x:v>
      </x:c>
      <x:c r="B57" s="697" t="str">
        <x:f>IF($A57="","",'CADASTRO DE LOJAS'!F58)</x:f>
        <x:v>ML55 - JUNDIAÍ PINCINATO</x:v>
      </x:c>
      <x:c r="C57" s="713" t="str">
        <x:f>IF($A57="","",'CADASTRO DE LOJAS'!D58)</x:f>
        <x:v>GUARDIÕES DA CHAMA</x:v>
      </x:c>
      <x:c r="D57" s="699" t="n">
        <x:f>IF($A57="","",IFERROR(INDEX(ETIQUETAS!$C$3:$AO$102,MATCH($A57,ETIQUETAS!$B$3:$B$102,0),MATCH($A$2,ETIQUETAS!$C$2:$AO$2,0)),0))</x:f>
        <x:v>6064</x:v>
      </x:c>
      <x:c r="E57" s="722" t="n">
        <x:f>IF($A57="","",IFERROR(INDEX('DIVERGÊNCIAS'!$C$3:$AO$102,MATCH($A57,'DIVERGÊNCIAS'!$B$3:$B$102,0),MATCH($A$2,'DIVERGÊNCIAS'!$C$2:$AO$2,0)),0))</x:f>
        <x:v>57</x:v>
      </x:c>
      <x:c r="F57" s="722" t="n">
        <x:f>IF($A57="","",IFERROR(INDEX('SEM PREÇO'!$C$3:$AO$102,MATCH($A57,'SEM PREÇO'!$B$3:$B$102,0),MATCH($A$2,'SEM PREÇO'!$C$2:$AO$2,0)),0))</x:f>
        <x:v>86</x:v>
      </x:c>
      <x:c r="G57" s="699" t="n">
        <x:f>IF($A57="","",IFERROR(INDEX(DESCONTOS!$C$66:$BD$125,MATCH($A57,DESCONTOS!$B$66:$B$125,0),MATCH($A$2,DESCONTOS!$C$65:$BD$65,0)),IFERROR(INDEX(DESCONTOS!$C$183:$BD$222,MATCH($A57,DESCONTOS!$B$183:$B$222,0),MATCH($A$2,DESCONTOS!$C$182:$BD$182,0)),0)))</x:f>
        <x:v>44</x:v>
      </x:c>
      <x:c r="H57" s="410" t="n">
        <x:f>IF($A57="","",IFERROR(INDEX(DESCONTOS!$C$3:$BD$62,MATCH($A57,DESCONTOS!$B$3:$B$62,0),MATCH($A$2,DESCONTOS!$C$2:$BD$2,0)),IFERROR(INDEX(DESCONTOS!$C$141:$BD$180,MATCH($A57,DESCONTOS!$B$141:$B$180,0),MATCH($A$2,DESCONTOS!$C$140:$BD$140,0)),0)))</x:f>
        <x:v>647.22</x:v>
      </x:c>
      <x:c r="I57" s="699" t="str">
        <x:f>IF($A57="","",IFERROR(INDEX(DESCONTOS!$C$66:$BD$125,MATCH($A57,DESCONTOS!$B$66:$B$125,0),MATCH(EDATE($A$2,-12),DESCONTOS!$C$65:$BD$65,0)),IFERROR(INDEX(DESCONTOS!$C$183:$BD$222,MATCH($A57,DESCONTOS!$B$183:$B$222,0),MATCH(EDATE($A$2,-12),DESCONTOS!$C$182:$BD$182,0)),0)))</x:f>
      </x:c>
      <x:c r="J57" s="410" t="str">
        <x:f>IF($A57="","",IFERROR(INDEX(DESCONTOS!$C$3:$BD$62,MATCH($A57,DESCONTOS!$B$3:$B$62,0),MATCH(EDATE($A$2,-12),DESCONTOS!$C$2:$BD$2,0)),IFERROR(INDEX(DESCONTOS!$C$141:$BD$180,MATCH($A57,DESCONTOS!$B$141:$B$180,0),MATCH(EDATE($A$2,-12),DESCONTOS!$C$140:$BD$140,0)),0)))</x:f>
      </x:c>
      <x:c r="K57" s="699" t="n">
        <x:f>IF($A57="","",IFERROR(INDEX('CADASTRO DE LOJAS'!$I$3:$I$41,MATCH($A$2,'CADASTRO DE LOJAS'!$H$3:$H$41,0)),6000))</x:f>
        <x:v>6000</x:v>
      </x:c>
      <x:c r="L57" s="701" t="str">
        <x:f>IF($A57="","",IF(D57&gt;K57,"SIM","NÃO"))</x:f>
        <x:v>SIM</x:v>
      </x:c>
    </x:row>
    <x:row r="58" ht="20" customHeight="1">
      <x:c r="A58" s="32" t="n">
        <x:f>IF('CADASTRO DE LOJAS'!E59="SIM",'CADASTRO DE LOJAS'!B59,"")</x:f>
        <x:v>56</x:v>
      </x:c>
      <x:c r="B58" s="702" t="str">
        <x:f>IF($A58="","",'CADASTRO DE LOJAS'!F59)</x:f>
        <x:v>ML56 - CATANDUVA</x:v>
      </x:c>
      <x:c r="C58" s="713" t="str">
        <x:f>IF($A58="","",'CADASTRO DE LOJAS'!D59)</x:f>
        <x:v>VENTO DOURADO</x:v>
      </x:c>
      <x:c r="D58" s="699" t="n">
        <x:f>IF($A58="","",IFERROR(INDEX(ETIQUETAS!$C$3:$AO$102,MATCH($A58,ETIQUETAS!$B$3:$B$102,0),MATCH($A$2,ETIQUETAS!$C$2:$AO$2,0)),0))</x:f>
        <x:v>12913</x:v>
      </x:c>
      <x:c r="E58" s="722" t="n">
        <x:f>IF($A58="","",IFERROR(INDEX('DIVERGÊNCIAS'!$C$3:$AO$102,MATCH($A58,'DIVERGÊNCIAS'!$B$3:$B$102,0),MATCH($A$2,'DIVERGÊNCIAS'!$C$2:$AO$2,0)),0))</x:f>
        <x:v>249</x:v>
      </x:c>
      <x:c r="F58" s="722" t="n">
        <x:f>IF($A58="","",IFERROR(INDEX('SEM PREÇO'!$C$3:$AO$102,MATCH($A58,'SEM PREÇO'!$B$3:$B$102,0),MATCH($A$2,'SEM PREÇO'!$C$2:$AO$2,0)),0))</x:f>
        <x:v>1268</x:v>
      </x:c>
      <x:c r="G58" s="699" t="str">
        <x:f>IF($A58="","",IFERROR(INDEX(DESCONTOS!$C$66:$BD$125,MATCH($A58,DESCONTOS!$B$66:$B$125,0),MATCH($A$2,DESCONTOS!$C$65:$BD$65,0)),IFERROR(INDEX(DESCONTOS!$C$183:$BD$222,MATCH($A58,DESCONTOS!$B$183:$B$222,0),MATCH($A$2,DESCONTOS!$C$182:$BD$182,0)),0)))</x:f>
      </x:c>
      <x:c r="H58" s="410" t="str">
        <x:f>IF($A58="","",IFERROR(INDEX(DESCONTOS!$C$3:$BD$62,MATCH($A58,DESCONTOS!$B$3:$B$62,0),MATCH($A$2,DESCONTOS!$C$2:$BD$2,0)),IFERROR(INDEX(DESCONTOS!$C$141:$BD$180,MATCH($A58,DESCONTOS!$B$141:$B$180,0),MATCH($A$2,DESCONTOS!$C$140:$BD$140,0)),0)))</x:f>
      </x:c>
      <x:c r="I58" s="699" t="str">
        <x:f>IF($A58="","",IFERROR(INDEX(DESCONTOS!$C$66:$BD$125,MATCH($A58,DESCONTOS!$B$66:$B$125,0),MATCH(EDATE($A$2,-12),DESCONTOS!$C$65:$BD$65,0)),IFERROR(INDEX(DESCONTOS!$C$183:$BD$222,MATCH($A58,DESCONTOS!$B$183:$B$222,0),MATCH(EDATE($A$2,-12),DESCONTOS!$C$182:$BD$182,0)),0)))</x:f>
      </x:c>
      <x:c r="J58" s="410" t="str">
        <x:f>IF($A58="","",IFERROR(INDEX(DESCONTOS!$C$3:$BD$62,MATCH($A58,DESCONTOS!$B$3:$B$62,0),MATCH(EDATE($A$2,-12),DESCONTOS!$C$2:$BD$2,0)),IFERROR(INDEX(DESCONTOS!$C$141:$BD$180,MATCH($A58,DESCONTOS!$B$141:$B$180,0),MATCH(EDATE($A$2,-12),DESCONTOS!$C$140:$BD$140,0)),0)))</x:f>
      </x:c>
      <x:c r="K58" s="699" t="n">
        <x:f>IF($A58="","",IFERROR(INDEX('CADASTRO DE LOJAS'!$I$3:$I$41,MATCH($A$2,'CADASTRO DE LOJAS'!$H$3:$H$41,0)),6000))</x:f>
        <x:v>6000</x:v>
      </x:c>
      <x:c r="L58" s="701" t="str">
        <x:f>IF($A58="","",IF(D58&gt;K58,"SIM","NÃO"))</x:f>
        <x:v>SIM</x:v>
      </x:c>
    </x:row>
    <x:row r="59" ht="20" customHeight="1">
      <x:c r="A59" s="32" t="n">
        <x:f>IF('CADASTRO DE LOJAS'!E60="SIM",'CADASTRO DE LOJAS'!B60,"")</x:f>
        <x:v>57</x:v>
      </x:c>
      <x:c r="B59" s="697" t="str">
        <x:f>IF($A59="","",'CADASTRO DE LOJAS'!F60)</x:f>
        <x:v>ML57 - CAIEIRAS</x:v>
      </x:c>
      <x:c r="C59" s="713" t="str">
        <x:f>IF($A59="","",'CADASTRO DE LOJAS'!D60)</x:f>
        <x:v>GUARDIÕES DA CHAMA</x:v>
      </x:c>
      <x:c r="D59" s="699" t="n">
        <x:f>IF($A59="","",IFERROR(INDEX(ETIQUETAS!$C$3:$AO$102,MATCH($A59,ETIQUETAS!$B$3:$B$102,0),MATCH($A$2,ETIQUETAS!$C$2:$AO$2,0)),0))</x:f>
        <x:v>6985</x:v>
      </x:c>
      <x:c r="E59" s="722" t="n">
        <x:f>IF($A59="","",IFERROR(INDEX('DIVERGÊNCIAS'!$C$3:$AO$102,MATCH($A59,'DIVERGÊNCIAS'!$B$3:$B$102,0),MATCH($A$2,'DIVERGÊNCIAS'!$C$2:$AO$2,0)),0))</x:f>
        <x:v>39</x:v>
      </x:c>
      <x:c r="F59" s="722" t="n">
        <x:f>IF($A59="","",IFERROR(INDEX('SEM PREÇO'!$C$3:$AO$102,MATCH($A59,'SEM PREÇO'!$B$3:$B$102,0),MATCH($A$2,'SEM PREÇO'!$C$2:$AO$2,0)),0))</x:f>
        <x:v>109</x:v>
      </x:c>
      <x:c r="G59" s="699" t="str">
        <x:f>IF($A59="","",IFERROR(INDEX(DESCONTOS!$C$66:$BD$125,MATCH($A59,DESCONTOS!$B$66:$B$125,0),MATCH($A$2,DESCONTOS!$C$65:$BD$65,0)),IFERROR(INDEX(DESCONTOS!$C$183:$BD$222,MATCH($A59,DESCONTOS!$B$183:$B$222,0),MATCH($A$2,DESCONTOS!$C$182:$BD$182,0)),0)))</x:f>
      </x:c>
      <x:c r="H59" s="410" t="str">
        <x:f>IF($A59="","",IFERROR(INDEX(DESCONTOS!$C$3:$BD$62,MATCH($A59,DESCONTOS!$B$3:$B$62,0),MATCH($A$2,DESCONTOS!$C$2:$BD$2,0)),IFERROR(INDEX(DESCONTOS!$C$141:$BD$180,MATCH($A59,DESCONTOS!$B$141:$B$180,0),MATCH($A$2,DESCONTOS!$C$140:$BD$140,0)),0)))</x:f>
      </x:c>
      <x:c r="I59" s="699" t="str">
        <x:f>IF($A59="","",IFERROR(INDEX(DESCONTOS!$C$66:$BD$125,MATCH($A59,DESCONTOS!$B$66:$B$125,0),MATCH(EDATE($A$2,-12),DESCONTOS!$C$65:$BD$65,0)),IFERROR(INDEX(DESCONTOS!$C$183:$BD$222,MATCH($A59,DESCONTOS!$B$183:$B$222,0),MATCH(EDATE($A$2,-12),DESCONTOS!$C$182:$BD$182,0)),0)))</x:f>
      </x:c>
      <x:c r="J59" s="410" t="str">
        <x:f>IF($A59="","",IFERROR(INDEX(DESCONTOS!$C$3:$BD$62,MATCH($A59,DESCONTOS!$B$3:$B$62,0),MATCH(EDATE($A$2,-12),DESCONTOS!$C$2:$BD$2,0)),IFERROR(INDEX(DESCONTOS!$C$141:$BD$180,MATCH($A59,DESCONTOS!$B$141:$B$180,0),MATCH(EDATE($A$2,-12),DESCONTOS!$C$140:$BD$140,0)),0)))</x:f>
      </x:c>
      <x:c r="K59" s="699" t="n">
        <x:f>IF($A59="","",IFERROR(INDEX('CADASTRO DE LOJAS'!$I$3:$I$41,MATCH($A$2,'CADASTRO DE LOJAS'!$H$3:$H$41,0)),6000))</x:f>
        <x:v>6000</x:v>
      </x:c>
      <x:c r="L59" s="701" t="str">
        <x:f>IF($A59="","",IF(D59&gt;K59,"SIM","NÃO"))</x:f>
        <x:v>SIM</x:v>
      </x:c>
    </x:row>
    <x:row r="60" ht="20" customHeight="1">
      <x:c r="A60" s="32" t="n">
        <x:f>IF('CADASTRO DE LOJAS'!E61="SIM",'CADASTRO DE LOJAS'!B61,"")</x:f>
        <x:v>58</x:v>
      </x:c>
      <x:c r="B60" s="702" t="str">
        <x:f>IF($A60="","",'CADASTRO DE LOJAS'!F61)</x:f>
        <x:v>ML58 - SALTO</x:v>
      </x:c>
      <x:c r="C60" s="713" t="str">
        <x:f>IF($A60="","",'CADASTRO DE LOJAS'!D61)</x:f>
        <x:v>RAÍZES DO LAR</x:v>
      </x:c>
      <x:c r="D60" s="699" t="n">
        <x:f>IF($A60="","",IFERROR(INDEX(ETIQUETAS!$C$3:$AO$102,MATCH($A60,ETIQUETAS!$B$3:$B$102,0),MATCH($A$2,ETIQUETAS!$C$2:$AO$2,0)),0))</x:f>
        <x:v>2516</x:v>
      </x:c>
      <x:c r="E60" s="722" t="n">
        <x:f>IF($A60="","",IFERROR(INDEX('DIVERGÊNCIAS'!$C$3:$AO$102,MATCH($A60,'DIVERGÊNCIAS'!$B$3:$B$102,0),MATCH($A$2,'DIVERGÊNCIAS'!$C$2:$AO$2,0)),0))</x:f>
        <x:v>69</x:v>
      </x:c>
      <x:c r="F60" s="722" t="n">
        <x:f>IF($A60="","",IFERROR(INDEX('SEM PREÇO'!$C$3:$AO$102,MATCH($A60,'SEM PREÇO'!$B$3:$B$102,0),MATCH($A$2,'SEM PREÇO'!$C$2:$AO$2,0)),0))</x:f>
        <x:v>481</x:v>
      </x:c>
      <x:c r="G60" s="699" t="str">
        <x:f>IF($A60="","",IFERROR(INDEX(DESCONTOS!$C$66:$BD$125,MATCH($A60,DESCONTOS!$B$66:$B$125,0),MATCH($A$2,DESCONTOS!$C$65:$BD$65,0)),IFERROR(INDEX(DESCONTOS!$C$183:$BD$222,MATCH($A60,DESCONTOS!$B$183:$B$222,0),MATCH($A$2,DESCONTOS!$C$182:$BD$182,0)),0)))</x:f>
      </x:c>
      <x:c r="H60" s="410" t="str">
        <x:f>IF($A60="","",IFERROR(INDEX(DESCONTOS!$C$3:$BD$62,MATCH($A60,DESCONTOS!$B$3:$B$62,0),MATCH($A$2,DESCONTOS!$C$2:$BD$2,0)),IFERROR(INDEX(DESCONTOS!$C$141:$BD$180,MATCH($A60,DESCONTOS!$B$141:$B$180,0),MATCH($A$2,DESCONTOS!$C$140:$BD$140,0)),0)))</x:f>
      </x:c>
      <x:c r="I60" s="699" t="str">
        <x:f>IF($A60="","",IFERROR(INDEX(DESCONTOS!$C$66:$BD$125,MATCH($A60,DESCONTOS!$B$66:$B$125,0),MATCH(EDATE($A$2,-12),DESCONTOS!$C$65:$BD$65,0)),IFERROR(INDEX(DESCONTOS!$C$183:$BD$222,MATCH($A60,DESCONTOS!$B$183:$B$222,0),MATCH(EDATE($A$2,-12),DESCONTOS!$C$182:$BD$182,0)),0)))</x:f>
      </x:c>
      <x:c r="J60" s="410" t="str">
        <x:f>IF($A60="","",IFERROR(INDEX(DESCONTOS!$C$3:$BD$62,MATCH($A60,DESCONTOS!$B$3:$B$62,0),MATCH(EDATE($A$2,-12),DESCONTOS!$C$2:$BD$2,0)),IFERROR(INDEX(DESCONTOS!$C$141:$BD$180,MATCH($A60,DESCONTOS!$B$141:$B$180,0),MATCH(EDATE($A$2,-12),DESCONTOS!$C$140:$BD$140,0)),0)))</x:f>
      </x:c>
      <x:c r="K60" s="699" t="n">
        <x:f>IF($A60="","",IFERROR(INDEX('CADASTRO DE LOJAS'!$I$3:$I$41,MATCH($A$2,'CADASTRO DE LOJAS'!$H$3:$H$41,0)),6000))</x:f>
        <x:v>6000</x:v>
      </x:c>
      <x:c r="L60" s="701" t="str">
        <x:f>IF($A60="","",IF(D60&gt;K60,"SIM","NÃO"))</x:f>
        <x:v>NÃO</x:v>
      </x:c>
    </x:row>
    <x:row r="61" ht="20" customHeight="1">
      <x:c r="A61" s="32" t="n">
        <x:f>IF('CADASTRO DE LOJAS'!E62="SIM",'CADASTRO DE LOJAS'!B62,"")</x:f>
        <x:v>59</x:v>
      </x:c>
      <x:c r="B61" s="697" t="str">
        <x:f>IF($A61="","",'CADASTRO DE LOJAS'!F62)</x:f>
        <x:v>ML59 - AVARÉ</x:v>
      </x:c>
      <x:c r="C61" s="713" t="str">
        <x:f>IF($A61="","",'CADASTRO DE LOJAS'!D62)</x:f>
        <x:v>OCEANO MARA</x:v>
      </x:c>
      <x:c r="D61" s="699" t="n">
        <x:f>IF($A61="","",IFERROR(INDEX(ETIQUETAS!$C$3:$AO$102,MATCH($A61,ETIQUETAS!$B$3:$B$102,0),MATCH($A$2,ETIQUETAS!$C$2:$AO$2,0)),0))</x:f>
        <x:v>1899</x:v>
      </x:c>
      <x:c r="E61" s="722" t="n">
        <x:f>IF($A61="","",IFERROR(INDEX('DIVERGÊNCIAS'!$C$3:$AO$102,MATCH($A61,'DIVERGÊNCIAS'!$B$3:$B$102,0),MATCH($A$2,'DIVERGÊNCIAS'!$C$2:$AO$2,0)),0))</x:f>
        <x:v>102</x:v>
      </x:c>
      <x:c r="F61" s="722" t="n">
        <x:f>IF($A61="","",IFERROR(INDEX('SEM PREÇO'!$C$3:$AO$102,MATCH($A61,'SEM PREÇO'!$B$3:$B$102,0),MATCH($A$2,'SEM PREÇO'!$C$2:$AO$2,0)),0))</x:f>
        <x:v>155</x:v>
      </x:c>
      <x:c r="G61" s="699" t="str">
        <x:f>IF($A61="","",IFERROR(INDEX(DESCONTOS!$C$66:$BD$125,MATCH($A61,DESCONTOS!$B$66:$B$125,0),MATCH($A$2,DESCONTOS!$C$65:$BD$65,0)),IFERROR(INDEX(DESCONTOS!$C$183:$BD$222,MATCH($A61,DESCONTOS!$B$183:$B$222,0),MATCH($A$2,DESCONTOS!$C$182:$BD$182,0)),0)))</x:f>
      </x:c>
      <x:c r="H61" s="410" t="str">
        <x:f>IF($A61="","",IFERROR(INDEX(DESCONTOS!$C$3:$BD$62,MATCH($A61,DESCONTOS!$B$3:$B$62,0),MATCH($A$2,DESCONTOS!$C$2:$BD$2,0)),IFERROR(INDEX(DESCONTOS!$C$141:$BD$180,MATCH($A61,DESCONTOS!$B$141:$B$180,0),MATCH($A$2,DESCONTOS!$C$140:$BD$140,0)),0)))</x:f>
      </x:c>
      <x:c r="I61" s="699" t="str">
        <x:f>IF($A61="","",IFERROR(INDEX(DESCONTOS!$C$66:$BD$125,MATCH($A61,DESCONTOS!$B$66:$B$125,0),MATCH(EDATE($A$2,-12),DESCONTOS!$C$65:$BD$65,0)),IFERROR(INDEX(DESCONTOS!$C$183:$BD$222,MATCH($A61,DESCONTOS!$B$183:$B$222,0),MATCH(EDATE($A$2,-12),DESCONTOS!$C$182:$BD$182,0)),0)))</x:f>
      </x:c>
      <x:c r="J61" s="410" t="str">
        <x:f>IF($A61="","",IFERROR(INDEX(DESCONTOS!$C$3:$BD$62,MATCH($A61,DESCONTOS!$B$3:$B$62,0),MATCH(EDATE($A$2,-12),DESCONTOS!$C$2:$BD$2,0)),IFERROR(INDEX(DESCONTOS!$C$141:$BD$180,MATCH($A61,DESCONTOS!$B$141:$B$180,0),MATCH(EDATE($A$2,-12),DESCONTOS!$C$140:$BD$140,0)),0)))</x:f>
      </x:c>
      <x:c r="K61" s="699" t="n">
        <x:f>IF($A61="","",IFERROR(INDEX('CADASTRO DE LOJAS'!$I$3:$I$41,MATCH($A$2,'CADASTRO DE LOJAS'!$H$3:$H$41,0)),6000))</x:f>
        <x:v>6000</x:v>
      </x:c>
      <x:c r="L61" s="701" t="str">
        <x:f>IF($A61="","",IF(D61&gt;K61,"SIM","NÃO"))</x:f>
        <x:v>NÃO</x:v>
      </x:c>
    </x:row>
    <x:row r="62" ht="20" customHeight="1">
      <x:c r="A62" s="32" t="n">
        <x:f>IF('CADASTRO DE LOJAS'!E63="SIM",'CADASTRO DE LOJAS'!B63,"")</x:f>
        <x:v>60</x:v>
      </x:c>
      <x:c r="B62" s="697" t="str">
        <x:f>IF($A62="","",'CADASTRO DE LOJAS'!F63)</x:f>
        <x:v>ML60 - BARRETOS</x:v>
      </x:c>
      <x:c r="C62" s="713" t="str">
        <x:f>IF($A62="","",'CADASTRO DE LOJAS'!D63)</x:f>
        <x:v>VENTO DOURADO</x:v>
      </x:c>
      <x:c r="D62" s="699" t="n">
        <x:f>IF($A62="","",IFERROR(INDEX(ETIQUETAS!$C$3:$AO$102,MATCH($A62,ETIQUETAS!$B$3:$B$102,0),MATCH($A$2,ETIQUETAS!$C$2:$AO$2,0)),0))</x:f>
        <x:v>15</x:v>
      </x:c>
      <x:c r="E62" s="722" t="n">
        <x:f>IF($A62="","",IFERROR(INDEX('DIVERGÊNCIAS'!$C$3:$AO$102,MATCH($A62,'DIVERGÊNCIAS'!$B$3:$B$102,0),MATCH($A$2,'DIVERGÊNCIAS'!$C$2:$AO$2,0)),0))</x:f>
        <x:v>0</x:v>
      </x:c>
      <x:c r="F62" s="722" t="n">
        <x:f>IF($A62="","",IFERROR(INDEX('SEM PREÇO'!$C$3:$AO$102,MATCH($A62,'SEM PREÇO'!$B$3:$B$102,0),MATCH($A$2,'SEM PREÇO'!$C$2:$AO$2,0)),0))</x:f>
        <x:v>0</x:v>
      </x:c>
      <x:c r="G62" s="699" t="str">
        <x:f>IF($A62="","",IFERROR(INDEX(DESCONTOS!$C$66:$BD$125,MATCH($A62,DESCONTOS!$B$66:$B$125,0),MATCH($A$2,DESCONTOS!$C$65:$BD$65,0)),IFERROR(INDEX(DESCONTOS!$C$183:$BD$222,MATCH($A62,DESCONTOS!$B$183:$B$222,0),MATCH($A$2,DESCONTOS!$C$182:$BD$182,0)),0)))</x:f>
      </x:c>
      <x:c r="H62" s="410" t="str">
        <x:f>IF($A62="","",IFERROR(INDEX(DESCONTOS!$C$3:$BD$62,MATCH($A62,DESCONTOS!$B$3:$B$62,0),MATCH($A$2,DESCONTOS!$C$2:$BD$2,0)),IFERROR(INDEX(DESCONTOS!$C$141:$BD$180,MATCH($A62,DESCONTOS!$B$141:$B$180,0),MATCH($A$2,DESCONTOS!$C$140:$BD$140,0)),0)))</x:f>
      </x:c>
      <x:c r="I62" s="699" t="str">
        <x:f>IF($A62="","",IFERROR(INDEX(DESCONTOS!$C$66:$BD$125,MATCH($A62,DESCONTOS!$B$66:$B$125,0),MATCH(EDATE($A$2,-12),DESCONTOS!$C$65:$BD$65,0)),IFERROR(INDEX(DESCONTOS!$C$183:$BD$222,MATCH($A62,DESCONTOS!$B$183:$B$222,0),MATCH(EDATE($A$2,-12),DESCONTOS!$C$182:$BD$182,0)),0)))</x:f>
      </x:c>
      <x:c r="J62" s="410" t="str">
        <x:f>IF($A62="","",IFERROR(INDEX(DESCONTOS!$C$3:$BD$62,MATCH($A62,DESCONTOS!$B$3:$B$62,0),MATCH(EDATE($A$2,-12),DESCONTOS!$C$2:$BD$2,0)),IFERROR(INDEX(DESCONTOS!$C$141:$BD$180,MATCH($A62,DESCONTOS!$B$141:$B$180,0),MATCH(EDATE($A$2,-12),DESCONTOS!$C$140:$BD$140,0)),0)))</x:f>
      </x:c>
      <x:c r="K62" s="699" t="n">
        <x:f>IF($A62="","",IFERROR(INDEX('CADASTRO DE LOJAS'!$I$3:$I$41,MATCH($A$2,'CADASTRO DE LOJAS'!$H$3:$H$41,0)),6000))</x:f>
        <x:v>6000</x:v>
      </x:c>
      <x:c r="L62" s="701" t="str">
        <x:f>IF($A62="","",IF(D62&gt;K62,"SIM","NÃO"))</x:f>
        <x:v>NÃO</x:v>
      </x:c>
    </x:row>
    <x:row r="63" ht="20" customHeight="1">
      <x:c r="A63" s="32" t="n">
        <x:f>IF('CADASTRO DE LOJAS'!E64="SIM",'CADASTRO DE LOJAS'!B64,"")</x:f>
        <x:v>61</x:v>
      </x:c>
      <x:c r="B63" s="697" t="str">
        <x:f>IF($A63="","",'CADASTRO DE LOJAS'!F64)</x:f>
        <x:v>ML61 - VINHEDO</x:v>
      </x:c>
      <x:c r="C63" s="713" t="str">
        <x:f>IF($A63="","",'CADASTRO DE LOJAS'!D64)</x:f>
        <x:v>GUARDIÕES DA CHAMA</x:v>
      </x:c>
      <x:c r="D63" s="699" t="n">
        <x:f>IF($A63="","",IFERROR(INDEX(ETIQUETAS!$C$3:$AO$102,MATCH($A63,ETIQUETAS!$B$3:$B$102,0),MATCH($A$2,ETIQUETAS!$C$2:$AO$2,0)),0))</x:f>
        <x:v>5</x:v>
      </x:c>
      <x:c r="E63" s="722" t="n">
        <x:f>IF($A63="","",IFERROR(INDEX('DIVERGÊNCIAS'!$C$3:$AO$102,MATCH($A63,'DIVERGÊNCIAS'!$B$3:$B$102,0),MATCH($A$2,'DIVERGÊNCIAS'!$C$2:$AO$2,0)),0))</x:f>
        <x:v>0</x:v>
      </x:c>
      <x:c r="F63" s="722" t="n">
        <x:f>IF($A63="","",IFERROR(INDEX('SEM PREÇO'!$C$3:$AO$102,MATCH($A63,'SEM PREÇO'!$B$3:$B$102,0),MATCH($A$2,'SEM PREÇO'!$C$2:$AO$2,0)),0))</x:f>
        <x:v>2</x:v>
      </x:c>
      <x:c r="G63" s="699" t="str">
        <x:f>IF($A63="","",IFERROR(INDEX(DESCONTOS!$C$66:$BD$125,MATCH($A63,DESCONTOS!$B$66:$B$125,0),MATCH($A$2,DESCONTOS!$C$65:$BD$65,0)),IFERROR(INDEX(DESCONTOS!$C$183:$BD$222,MATCH($A63,DESCONTOS!$B$183:$B$222,0),MATCH($A$2,DESCONTOS!$C$182:$BD$182,0)),0)))</x:f>
      </x:c>
      <x:c r="H63" s="410" t="str">
        <x:f>IF($A63="","",IFERROR(INDEX(DESCONTOS!$C$3:$BD$62,MATCH($A63,DESCONTOS!$B$3:$B$62,0),MATCH($A$2,DESCONTOS!$C$2:$BD$2,0)),IFERROR(INDEX(DESCONTOS!$C$141:$BD$180,MATCH($A63,DESCONTOS!$B$141:$B$180,0),MATCH($A$2,DESCONTOS!$C$140:$BD$140,0)),0)))</x:f>
      </x:c>
      <x:c r="I63" s="699" t="str">
        <x:f>IF($A63="","",IFERROR(INDEX(DESCONTOS!$C$66:$BD$125,MATCH($A63,DESCONTOS!$B$66:$B$125,0),MATCH(EDATE($A$2,-12),DESCONTOS!$C$65:$BD$65,0)),IFERROR(INDEX(DESCONTOS!$C$183:$BD$222,MATCH($A63,DESCONTOS!$B$183:$B$222,0),MATCH(EDATE($A$2,-12),DESCONTOS!$C$182:$BD$182,0)),0)))</x:f>
      </x:c>
      <x:c r="J63" s="410" t="str">
        <x:f>IF($A63="","",IFERROR(INDEX(DESCONTOS!$C$3:$BD$62,MATCH($A63,DESCONTOS!$B$3:$B$62,0),MATCH(EDATE($A$2,-12),DESCONTOS!$C$2:$BD$2,0)),IFERROR(INDEX(DESCONTOS!$C$141:$BD$180,MATCH($A63,DESCONTOS!$B$141:$B$180,0),MATCH(EDATE($A$2,-12),DESCONTOS!$C$140:$BD$140,0)),0)))</x:f>
      </x:c>
      <x:c r="K63" s="699" t="n">
        <x:f>IF($A63="","",IFERROR(INDEX('CADASTRO DE LOJAS'!$I$3:$I$41,MATCH($A$2,'CADASTRO DE LOJAS'!$H$3:$H$41,0)),6000))</x:f>
        <x:v>6000</x:v>
      </x:c>
      <x:c r="L63" s="701" t="str">
        <x:f>IF($A63="","",IF(D63&gt;K63,"SIM","NÃO"))</x:f>
        <x:v>NÃO</x:v>
      </x:c>
    </x:row>
    <x:row r="64" ht="20" customHeight="1">
      <x:c r="A64" s="32" t="str">
        <x:f>IF('CADASTRO DE LOJAS'!E65="SIM",'CADASTRO DE LOJAS'!B65,"")</x:f>
      </x:c>
      <x:c r="B64" s="703" t="str">
        <x:f>IF($A64="","",'CADASTRO DE LOJAS'!F65)</x:f>
      </x:c>
      <x:c r="C64" s="714" t="str">
        <x:f>IF($A64="","",'CADASTRO DE LOJAS'!D65)</x:f>
      </x:c>
      <x:c r="D64" s="705" t="str">
        <x:f>IF($A64="","",IFERROR(INDEX(ETIQUETAS!$C$3:$AO$102,MATCH($A64,ETIQUETAS!$B$3:$B$102,0),MATCH($A$2,ETIQUETAS!$C$2:$AO$2,0)),0))</x:f>
      </x:c>
      <x:c r="E64" s="723" t="str">
        <x:f>IF($A64="","",IFERROR(INDEX('DIVERGÊNCIAS'!$C$3:$AO$102,MATCH($A64,'DIVERGÊNCIAS'!$B$3:$B$102,0),MATCH($A$2,'DIVERGÊNCIAS'!$C$2:$AO$2,0)),0))</x:f>
      </x:c>
      <x:c r="F64" s="723" t="str">
        <x:f>IF($A64="","",IFERROR(INDEX('SEM PREÇO'!$C$3:$AO$102,MATCH($A64,'SEM PREÇO'!$B$3:$B$102,0),MATCH($A$2,'SEM PREÇO'!$C$2:$AO$2,0)),0))</x:f>
      </x:c>
      <x:c r="G64" s="705" t="str">
        <x:f>IF($A64="","",IFERROR(INDEX(DESCONTOS!$C$66:$BD$125,MATCH($A64,DESCONTOS!$B$66:$B$125,0),MATCH($A$2,DESCONTOS!$C$65:$BD$65,0)),IFERROR(INDEX(DESCONTOS!$C$183:$BD$222,MATCH($A64,DESCONTOS!$B$183:$B$222,0),MATCH($A$2,DESCONTOS!$C$182:$BD$182,0)),0)))</x:f>
      </x:c>
      <x:c r="H64" s="411" t="str">
        <x:f>IF($A64="","",IFERROR(INDEX(DESCONTOS!$C$3:$BD$62,MATCH($A64,DESCONTOS!$B$3:$B$62,0),MATCH($A$2,DESCONTOS!$C$2:$BD$2,0)),IFERROR(INDEX(DESCONTOS!$C$141:$BD$180,MATCH($A64,DESCONTOS!$B$141:$B$180,0),MATCH($A$2,DESCONTOS!$C$140:$BD$140,0)),0)))</x:f>
      </x:c>
      <x:c r="I64" s="705" t="str">
        <x:f>IF($A64="","",IFERROR(INDEX(DESCONTOS!$C$66:$BD$125,MATCH($A64,DESCONTOS!$B$66:$B$125,0),MATCH(EDATE($A$2,-12),DESCONTOS!$C$65:$BD$65,0)),IFERROR(INDEX(DESCONTOS!$C$183:$BD$222,MATCH($A64,DESCONTOS!$B$183:$B$222,0),MATCH(EDATE($A$2,-12),DESCONTOS!$C$182:$BD$182,0)),0)))</x:f>
      </x:c>
      <x:c r="J64" s="411" t="str">
        <x:f>IF($A64="","",IFERROR(INDEX(DESCONTOS!$C$3:$BD$62,MATCH($A64,DESCONTOS!$B$3:$B$62,0),MATCH(EDATE($A$2,-12),DESCONTOS!$C$2:$BD$2,0)),IFERROR(INDEX(DESCONTOS!$C$141:$BD$180,MATCH($A64,DESCONTOS!$B$141:$B$180,0),MATCH(EDATE($A$2,-12),DESCONTOS!$C$140:$BD$140,0)),0)))</x:f>
      </x:c>
      <x:c r="K64" s="705" t="str">
        <x:f>IF($A64="","",IFERROR(INDEX('CADASTRO DE LOJAS'!$I$3:$I$41,MATCH($A$2,'CADASTRO DE LOJAS'!$H$3:$H$41,0)),6000))</x:f>
      </x:c>
      <x:c r="L64" s="707" t="str">
        <x:f>IF($A64="","",IF(D64&gt;K64,"SIM","NÃO"))</x:f>
      </x:c>
    </x:row>
    <x:row r="65" ht="20" customHeight="1">
      <x:c r="A65" s="32" t="str">
        <x:f>IF('CADASTRO DE LOJAS'!E66="SIM",'CADASTRO DE LOJAS'!B66,"")</x:f>
      </x:c>
      <x:c r="B65" s="703" t="str">
        <x:f>IF($A65="","",'CADASTRO DE LOJAS'!F66)</x:f>
      </x:c>
      <x:c r="C65" s="714" t="str">
        <x:f>IF($A65="","",'CADASTRO DE LOJAS'!D66)</x:f>
      </x:c>
      <x:c r="D65" s="705" t="str">
        <x:f>IF($A65="","",IFERROR(INDEX(ETIQUETAS!$C$3:$AO$102,MATCH($A65,ETIQUETAS!$B$3:$B$102,0),MATCH($A$2,ETIQUETAS!$C$2:$AO$2,0)),0))</x:f>
      </x:c>
      <x:c r="E65" s="723" t="str">
        <x:f>IF($A65="","",IFERROR(INDEX('DIVERGÊNCIAS'!$C$3:$AO$102,MATCH($A65,'DIVERGÊNCIAS'!$B$3:$B$102,0),MATCH($A$2,'DIVERGÊNCIAS'!$C$2:$AO$2,0)),0))</x:f>
      </x:c>
      <x:c r="F65" s="723" t="str">
        <x:f>IF($A65="","",IFERROR(INDEX('SEM PREÇO'!$C$3:$AO$102,MATCH($A65,'SEM PREÇO'!$B$3:$B$102,0),MATCH($A$2,'SEM PREÇO'!$C$2:$AO$2,0)),0))</x:f>
      </x:c>
      <x:c r="G65" s="705" t="str">
        <x:f>IF($A65="","",IFERROR(INDEX(DESCONTOS!$C$66:$BD$125,MATCH($A65,DESCONTOS!$B$66:$B$125,0),MATCH($A$2,DESCONTOS!$C$65:$BD$65,0)),IFERROR(INDEX(DESCONTOS!$C$183:$BD$222,MATCH($A65,DESCONTOS!$B$183:$B$222,0),MATCH($A$2,DESCONTOS!$C$182:$BD$182,0)),0)))</x:f>
      </x:c>
      <x:c r="H65" s="411" t="str">
        <x:f>IF($A65="","",IFERROR(INDEX(DESCONTOS!$C$3:$BD$62,MATCH($A65,DESCONTOS!$B$3:$B$62,0),MATCH($A$2,DESCONTOS!$C$2:$BD$2,0)),IFERROR(INDEX(DESCONTOS!$C$141:$BD$180,MATCH($A65,DESCONTOS!$B$141:$B$180,0),MATCH($A$2,DESCONTOS!$C$140:$BD$140,0)),0)))</x:f>
      </x:c>
      <x:c r="I65" s="705" t="str">
        <x:f>IF($A65="","",IFERROR(INDEX(DESCONTOS!$C$66:$BD$125,MATCH($A65,DESCONTOS!$B$66:$B$125,0),MATCH(EDATE($A$2,-12),DESCONTOS!$C$65:$BD$65,0)),IFERROR(INDEX(DESCONTOS!$C$183:$BD$222,MATCH($A65,DESCONTOS!$B$183:$B$222,0),MATCH(EDATE($A$2,-12),DESCONTOS!$C$182:$BD$182,0)),0)))</x:f>
      </x:c>
      <x:c r="J65" s="411" t="str">
        <x:f>IF($A65="","",IFERROR(INDEX(DESCONTOS!$C$3:$BD$62,MATCH($A65,DESCONTOS!$B$3:$B$62,0),MATCH(EDATE($A$2,-12),DESCONTOS!$C$2:$BD$2,0)),IFERROR(INDEX(DESCONTOS!$C$141:$BD$180,MATCH($A65,DESCONTOS!$B$141:$B$180,0),MATCH(EDATE($A$2,-12),DESCONTOS!$C$140:$BD$140,0)),0)))</x:f>
      </x:c>
      <x:c r="K65" s="705" t="str">
        <x:f>IF($A65="","",IFERROR(INDEX('CADASTRO DE LOJAS'!$I$3:$I$41,MATCH($A$2,'CADASTRO DE LOJAS'!$H$3:$H$41,0)),6000))</x:f>
      </x:c>
      <x:c r="L65" s="707" t="str">
        <x:f>IF($A65="","",IF(D65&gt;K65,"SIM","NÃO"))</x:f>
      </x:c>
    </x:row>
    <x:row r="66" ht="20" hidden="1" customHeight="1">
      <x:c r="A66" s="32" t="str">
        <x:f>IF('CADASTRO DE LOJAS'!E67="SIM",'CADASTRO DE LOJAS'!B67,"")</x:f>
      </x:c>
      <x:c r="B66" s="703" t="str">
        <x:f>IF($A66="","",'CADASTRO DE LOJAS'!F67)</x:f>
      </x:c>
      <x:c r="C66" s="714" t="str">
        <x:f>IF($A66="","",'CADASTRO DE LOJAS'!D67)</x:f>
      </x:c>
      <x:c r="D66" s="705" t="str">
        <x:f>IF($A66="","",IFERROR(INDEX(ETIQUETAS!$C$3:$AO$102,MATCH($A66,ETIQUETAS!$B$3:$B$102,0),MATCH($A$2,ETIQUETAS!$C$2:$AO$2,0)),0))</x:f>
      </x:c>
      <x:c r="E66" s="723" t="str">
        <x:f>IF($A66="","",IFERROR(INDEX('DIVERGÊNCIAS'!$C$3:$AO$102,MATCH($A66,'DIVERGÊNCIAS'!$B$3:$B$102,0),MATCH($A$2,'DIVERGÊNCIAS'!$C$2:$AO$2,0)),0))</x:f>
      </x:c>
      <x:c r="F66" s="723" t="str">
        <x:f>IF($A66="","",IFERROR(INDEX('SEM PREÇO'!$C$3:$AO$102,MATCH($A66,'SEM PREÇO'!$B$3:$B$102,0),MATCH($A$2,'SEM PREÇO'!$C$2:$AO$2,0)),0))</x:f>
      </x:c>
      <x:c r="G66" s="705" t="str">
        <x:f>IF($A66="","",IFERROR(INDEX(DESCONTOS!$C$66:$BD$125,MATCH($A66,DESCONTOS!$B$66:$B$125,0),MATCH($A$2,DESCONTOS!$C$65:$BD$65,0)),IFERROR(INDEX(DESCONTOS!$C$183:$BD$222,MATCH($A66,DESCONTOS!$B$183:$B$222,0),MATCH($A$2,DESCONTOS!$C$182:$BD$182,0)),0)))</x:f>
      </x:c>
      <x:c r="H66" s="411" t="str">
        <x:f>IF($A66="","",IFERROR(INDEX(DESCONTOS!$C$3:$BD$62,MATCH($A66,DESCONTOS!$B$3:$B$62,0),MATCH($A$2,DESCONTOS!$C$2:$BD$2,0)),IFERROR(INDEX(DESCONTOS!$C$141:$BD$180,MATCH($A66,DESCONTOS!$B$141:$B$180,0),MATCH($A$2,DESCONTOS!$C$140:$BD$140,0)),0)))</x:f>
      </x:c>
      <x:c r="I66" s="705" t="str">
        <x:f>IF($A66="","",IFERROR(INDEX(DESCONTOS!$C$66:$BD$125,MATCH($A66,DESCONTOS!$B$66:$B$125,0),MATCH(EDATE($A$2,-12),DESCONTOS!$C$65:$BD$65,0)),IFERROR(INDEX(DESCONTOS!$C$183:$BD$222,MATCH($A66,DESCONTOS!$B$183:$B$222,0),MATCH(EDATE($A$2,-12),DESCONTOS!$C$182:$BD$182,0)),0)))</x:f>
      </x:c>
      <x:c r="J66" s="411" t="str">
        <x:f>IF($A66="","",IFERROR(INDEX(DESCONTOS!$C$3:$BD$62,MATCH($A66,DESCONTOS!$B$3:$B$62,0),MATCH(EDATE($A$2,-12),DESCONTOS!$C$2:$BD$2,0)),IFERROR(INDEX(DESCONTOS!$C$141:$BD$180,MATCH($A66,DESCONTOS!$B$141:$B$180,0),MATCH(EDATE($A$2,-12),DESCONTOS!$C$140:$BD$140,0)),0)))</x:f>
      </x:c>
      <x:c r="K66" s="705" t="str">
        <x:f>IF($A66="","",IFERROR(INDEX('CADASTRO DE LOJAS'!$I$3:$I$41,MATCH($A$2,'CADASTRO DE LOJAS'!$H$3:$H$41,0)),6000))</x:f>
      </x:c>
      <x:c r="L66" s="707" t="str">
        <x:f>IF($A66="","",IF(D66&gt;K66,"SIM","NÃO"))</x:f>
      </x:c>
    </x:row>
    <x:row r="67" ht="20" hidden="1" customHeight="1">
      <x:c r="A67" s="32" t="str">
        <x:f>IF('CADASTRO DE LOJAS'!E68="SIM",'CADASTRO DE LOJAS'!B68,"")</x:f>
      </x:c>
      <x:c r="B67" s="703" t="str">
        <x:f>IF($A67="","",'CADASTRO DE LOJAS'!F68)</x:f>
      </x:c>
      <x:c r="C67" s="714" t="str">
        <x:f>IF($A67="","",'CADASTRO DE LOJAS'!D68)</x:f>
      </x:c>
      <x:c r="D67" s="705" t="str">
        <x:f>IF($A67="","",IFERROR(INDEX(ETIQUETAS!$C$3:$AO$102,MATCH($A67,ETIQUETAS!$B$3:$B$102,0),MATCH($A$2,ETIQUETAS!$C$2:$AO$2,0)),0))</x:f>
      </x:c>
      <x:c r="E67" s="723" t="str">
        <x:f>IF($A67="","",IFERROR(INDEX('DIVERGÊNCIAS'!$C$3:$AO$102,MATCH($A67,'DIVERGÊNCIAS'!$B$3:$B$102,0),MATCH($A$2,'DIVERGÊNCIAS'!$C$2:$AO$2,0)),0))</x:f>
      </x:c>
      <x:c r="F67" s="723" t="str">
        <x:f>IF($A67="","",IFERROR(INDEX('SEM PREÇO'!$C$3:$AO$102,MATCH($A67,'SEM PREÇO'!$B$3:$B$102,0),MATCH($A$2,'SEM PREÇO'!$C$2:$AO$2,0)),0))</x:f>
      </x:c>
      <x:c r="G67" s="705" t="str">
        <x:f>IF($A67="","",IFERROR(INDEX(DESCONTOS!$C$66:$BD$125,MATCH($A67,DESCONTOS!$B$66:$B$125,0),MATCH($A$2,DESCONTOS!$C$65:$BD$65,0)),IFERROR(INDEX(DESCONTOS!$C$183:$BD$222,MATCH($A67,DESCONTOS!$B$183:$B$222,0),MATCH($A$2,DESCONTOS!$C$182:$BD$182,0)),0)))</x:f>
      </x:c>
      <x:c r="H67" s="411" t="str">
        <x:f>IF($A67="","",IFERROR(INDEX(DESCONTOS!$C$3:$BD$62,MATCH($A67,DESCONTOS!$B$3:$B$62,0),MATCH($A$2,DESCONTOS!$C$2:$BD$2,0)),IFERROR(INDEX(DESCONTOS!$C$141:$BD$180,MATCH($A67,DESCONTOS!$B$141:$B$180,0),MATCH($A$2,DESCONTOS!$C$140:$BD$140,0)),0)))</x:f>
      </x:c>
      <x:c r="I67" s="705" t="str">
        <x:f>IF($A67="","",IFERROR(INDEX(DESCONTOS!$C$66:$BD$125,MATCH($A67,DESCONTOS!$B$66:$B$125,0),MATCH(EDATE($A$2,-12),DESCONTOS!$C$65:$BD$65,0)),IFERROR(INDEX(DESCONTOS!$C$183:$BD$222,MATCH($A67,DESCONTOS!$B$183:$B$222,0),MATCH(EDATE($A$2,-12),DESCONTOS!$C$182:$BD$182,0)),0)))</x:f>
      </x:c>
      <x:c r="J67" s="411" t="str">
        <x:f>IF($A67="","",IFERROR(INDEX(DESCONTOS!$C$3:$BD$62,MATCH($A67,DESCONTOS!$B$3:$B$62,0),MATCH(EDATE($A$2,-12),DESCONTOS!$C$2:$BD$2,0)),IFERROR(INDEX(DESCONTOS!$C$141:$BD$180,MATCH($A67,DESCONTOS!$B$141:$B$180,0),MATCH(EDATE($A$2,-12),DESCONTOS!$C$140:$BD$140,0)),0)))</x:f>
      </x:c>
      <x:c r="K67" s="705" t="str">
        <x:f>IF($A67="","",IFERROR(INDEX('CADASTRO DE LOJAS'!$I$3:$I$41,MATCH($A$2,'CADASTRO DE LOJAS'!$H$3:$H$41,0)),6000))</x:f>
      </x:c>
      <x:c r="L67" s="707" t="str">
        <x:f>IF($A67="","",IF(D67&gt;K67,"SIM","NÃO"))</x:f>
      </x:c>
    </x:row>
    <x:row r="68" ht="20" hidden="1" customHeight="1">
      <x:c r="A68" s="32" t="str">
        <x:f>IF('CADASTRO DE LOJAS'!E69="SIM",'CADASTRO DE LOJAS'!B69,"")</x:f>
      </x:c>
      <x:c r="B68" s="703" t="str">
        <x:f>IF($A68="","",'CADASTRO DE LOJAS'!F69)</x:f>
      </x:c>
      <x:c r="C68" s="714" t="str">
        <x:f>IF($A68="","",'CADASTRO DE LOJAS'!D69)</x:f>
      </x:c>
      <x:c r="D68" s="705" t="str">
        <x:f>IF($A68="","",IFERROR(INDEX(ETIQUETAS!$C$3:$AO$102,MATCH($A68,ETIQUETAS!$B$3:$B$102,0),MATCH($A$2,ETIQUETAS!$C$2:$AO$2,0)),0))</x:f>
      </x:c>
      <x:c r="E68" s="723" t="str">
        <x:f>IF($A68="","",IFERROR(INDEX('DIVERGÊNCIAS'!$C$3:$AO$102,MATCH($A68,'DIVERGÊNCIAS'!$B$3:$B$102,0),MATCH($A$2,'DIVERGÊNCIAS'!$C$2:$AO$2,0)),0))</x:f>
      </x:c>
      <x:c r="F68" s="723" t="str">
        <x:f>IF($A68="","",IFERROR(INDEX('SEM PREÇO'!$C$3:$AO$102,MATCH($A68,'SEM PREÇO'!$B$3:$B$102,0),MATCH($A$2,'SEM PREÇO'!$C$2:$AO$2,0)),0))</x:f>
      </x:c>
      <x:c r="G68" s="705" t="str">
        <x:f>IF($A68="","",IFERROR(INDEX(DESCONTOS!$C$66:$BD$125,MATCH($A68,DESCONTOS!$B$66:$B$125,0),MATCH($A$2,DESCONTOS!$C$65:$BD$65,0)),IFERROR(INDEX(DESCONTOS!$C$183:$BD$222,MATCH($A68,DESCONTOS!$B$183:$B$222,0),MATCH($A$2,DESCONTOS!$C$182:$BD$182,0)),0)))</x:f>
      </x:c>
      <x:c r="H68" s="411" t="str">
        <x:f>IF($A68="","",IFERROR(INDEX(DESCONTOS!$C$3:$BD$62,MATCH($A68,DESCONTOS!$B$3:$B$62,0),MATCH($A$2,DESCONTOS!$C$2:$BD$2,0)),IFERROR(INDEX(DESCONTOS!$C$141:$BD$180,MATCH($A68,DESCONTOS!$B$141:$B$180,0),MATCH($A$2,DESCONTOS!$C$140:$BD$140,0)),0)))</x:f>
      </x:c>
      <x:c r="I68" s="705" t="str">
        <x:f>IF($A68="","",IFERROR(INDEX(DESCONTOS!$C$66:$BD$125,MATCH($A68,DESCONTOS!$B$66:$B$125,0),MATCH(EDATE($A$2,-12),DESCONTOS!$C$65:$BD$65,0)),IFERROR(INDEX(DESCONTOS!$C$183:$BD$222,MATCH($A68,DESCONTOS!$B$183:$B$222,0),MATCH(EDATE($A$2,-12),DESCONTOS!$C$182:$BD$182,0)),0)))</x:f>
      </x:c>
      <x:c r="J68" s="411" t="str">
        <x:f>IF($A68="","",IFERROR(INDEX(DESCONTOS!$C$3:$BD$62,MATCH($A68,DESCONTOS!$B$3:$B$62,0),MATCH(EDATE($A$2,-12),DESCONTOS!$C$2:$BD$2,0)),IFERROR(INDEX(DESCONTOS!$C$141:$BD$180,MATCH($A68,DESCONTOS!$B$141:$B$180,0),MATCH(EDATE($A$2,-12),DESCONTOS!$C$140:$BD$140,0)),0)))</x:f>
      </x:c>
      <x:c r="K68" s="705" t="str">
        <x:f>IF($A68="","",IFERROR(INDEX('CADASTRO DE LOJAS'!$I$3:$I$41,MATCH($A$2,'CADASTRO DE LOJAS'!$H$3:$H$41,0)),6000))</x:f>
      </x:c>
      <x:c r="L68" s="707" t="str">
        <x:f>IF($A68="","",IF(D68&gt;K68,"SIM","NÃO"))</x:f>
      </x:c>
    </x:row>
    <x:row r="69" ht="20" hidden="1" customHeight="1">
      <x:c r="A69" s="32" t="str">
        <x:f>IF('CADASTRO DE LOJAS'!E70="SIM",'CADASTRO DE LOJAS'!B70,"")</x:f>
      </x:c>
      <x:c r="B69" s="703" t="str">
        <x:f>IF($A69="","",'CADASTRO DE LOJAS'!F70)</x:f>
      </x:c>
      <x:c r="C69" s="714" t="str">
        <x:f>IF($A69="","",'CADASTRO DE LOJAS'!D70)</x:f>
      </x:c>
      <x:c r="D69" s="705" t="str">
        <x:f>IF($A69="","",IFERROR(INDEX(ETIQUETAS!$C$3:$AO$102,MATCH($A69,ETIQUETAS!$B$3:$B$102,0),MATCH($A$2,ETIQUETAS!$C$2:$AO$2,0)),0))</x:f>
      </x:c>
      <x:c r="E69" s="723" t="str">
        <x:f>IF($A69="","",IFERROR(INDEX('DIVERGÊNCIAS'!$C$3:$AO$102,MATCH($A69,'DIVERGÊNCIAS'!$B$3:$B$102,0),MATCH($A$2,'DIVERGÊNCIAS'!$C$2:$AO$2,0)),0))</x:f>
      </x:c>
      <x:c r="F69" s="723" t="str">
        <x:f>IF($A69="","",IFERROR(INDEX('SEM PREÇO'!$C$3:$AO$102,MATCH($A69,'SEM PREÇO'!$B$3:$B$102,0),MATCH($A$2,'SEM PREÇO'!$C$2:$AO$2,0)),0))</x:f>
      </x:c>
      <x:c r="G69" s="705" t="str">
        <x:f>IF($A69="","",IFERROR(INDEX(DESCONTOS!$C$66:$BD$125,MATCH($A69,DESCONTOS!$B$66:$B$125,0),MATCH($A$2,DESCONTOS!$C$65:$BD$65,0)),IFERROR(INDEX(DESCONTOS!$C$183:$BD$222,MATCH($A69,DESCONTOS!$B$183:$B$222,0),MATCH($A$2,DESCONTOS!$C$182:$BD$182,0)),0)))</x:f>
      </x:c>
      <x:c r="H69" s="411" t="str">
        <x:f>IF($A69="","",IFERROR(INDEX(DESCONTOS!$C$3:$BD$62,MATCH($A69,DESCONTOS!$B$3:$B$62,0),MATCH($A$2,DESCONTOS!$C$2:$BD$2,0)),IFERROR(INDEX(DESCONTOS!$C$141:$BD$180,MATCH($A69,DESCONTOS!$B$141:$B$180,0),MATCH($A$2,DESCONTOS!$C$140:$BD$140,0)),0)))</x:f>
      </x:c>
      <x:c r="I69" s="705" t="str">
        <x:f>IF($A69="","",IFERROR(INDEX(DESCONTOS!$C$66:$BD$125,MATCH($A69,DESCONTOS!$B$66:$B$125,0),MATCH(EDATE($A$2,-12),DESCONTOS!$C$65:$BD$65,0)),IFERROR(INDEX(DESCONTOS!$C$183:$BD$222,MATCH($A69,DESCONTOS!$B$183:$B$222,0),MATCH(EDATE($A$2,-12),DESCONTOS!$C$182:$BD$182,0)),0)))</x:f>
      </x:c>
      <x:c r="J69" s="411" t="str">
        <x:f>IF($A69="","",IFERROR(INDEX(DESCONTOS!$C$3:$BD$62,MATCH($A69,DESCONTOS!$B$3:$B$62,0),MATCH(EDATE($A$2,-12),DESCONTOS!$C$2:$BD$2,0)),IFERROR(INDEX(DESCONTOS!$C$141:$BD$180,MATCH($A69,DESCONTOS!$B$141:$B$180,0),MATCH(EDATE($A$2,-12),DESCONTOS!$C$140:$BD$140,0)),0)))</x:f>
      </x:c>
      <x:c r="K69" s="705" t="str">
        <x:f>IF($A69="","",IFERROR(INDEX('CADASTRO DE LOJAS'!$I$3:$I$41,MATCH($A$2,'CADASTRO DE LOJAS'!$H$3:$H$41,0)),6000))</x:f>
      </x:c>
      <x:c r="L69" s="707" t="str">
        <x:f>IF($A69="","",IF(D69&gt;K69,"SIM","NÃO"))</x:f>
      </x:c>
    </x:row>
    <x:row r="70" ht="20" hidden="1" customHeight="1">
      <x:c r="A70" s="32" t="str">
        <x:f>IF('CADASTRO DE LOJAS'!E71="SIM",'CADASTRO DE LOJAS'!B71,"")</x:f>
      </x:c>
      <x:c r="B70" s="703" t="str">
        <x:f>IF($A70="","",'CADASTRO DE LOJAS'!F71)</x:f>
      </x:c>
      <x:c r="C70" s="714" t="str">
        <x:f>IF($A70="","",'CADASTRO DE LOJAS'!D71)</x:f>
      </x:c>
      <x:c r="D70" s="705" t="str">
        <x:f>IF($A70="","",IFERROR(INDEX(ETIQUETAS!$C$3:$AO$102,MATCH($A70,ETIQUETAS!$B$3:$B$102,0),MATCH($A$2,ETIQUETAS!$C$2:$AO$2,0)),0))</x:f>
      </x:c>
      <x:c r="E70" s="723" t="str">
        <x:f>IF($A70="","",IFERROR(INDEX('DIVERGÊNCIAS'!$C$3:$AO$102,MATCH($A70,'DIVERGÊNCIAS'!$B$3:$B$102,0),MATCH($A$2,'DIVERGÊNCIAS'!$C$2:$AO$2,0)),0))</x:f>
      </x:c>
      <x:c r="F70" s="723" t="str">
        <x:f>IF($A70="","",IFERROR(INDEX('SEM PREÇO'!$C$3:$AO$102,MATCH($A70,'SEM PREÇO'!$B$3:$B$102,0),MATCH($A$2,'SEM PREÇO'!$C$2:$AO$2,0)),0))</x:f>
      </x:c>
      <x:c r="G70" s="705" t="str">
        <x:f>IF($A70="","",IFERROR(INDEX(DESCONTOS!$C$66:$BD$125,MATCH($A70,DESCONTOS!$B$66:$B$125,0),MATCH($A$2,DESCONTOS!$C$65:$BD$65,0)),IFERROR(INDEX(DESCONTOS!$C$183:$BD$222,MATCH($A70,DESCONTOS!$B$183:$B$222,0),MATCH($A$2,DESCONTOS!$C$182:$BD$182,0)),0)))</x:f>
      </x:c>
      <x:c r="H70" s="411" t="str">
        <x:f>IF($A70="","",IFERROR(INDEX(DESCONTOS!$C$3:$BD$62,MATCH($A70,DESCONTOS!$B$3:$B$62,0),MATCH($A$2,DESCONTOS!$C$2:$BD$2,0)),IFERROR(INDEX(DESCONTOS!$C$141:$BD$180,MATCH($A70,DESCONTOS!$B$141:$B$180,0),MATCH($A$2,DESCONTOS!$C$140:$BD$140,0)),0)))</x:f>
      </x:c>
      <x:c r="I70" s="705" t="str">
        <x:f>IF($A70="","",IFERROR(INDEX(DESCONTOS!$C$66:$BD$125,MATCH($A70,DESCONTOS!$B$66:$B$125,0),MATCH(EDATE($A$2,-12),DESCONTOS!$C$65:$BD$65,0)),IFERROR(INDEX(DESCONTOS!$C$183:$BD$222,MATCH($A70,DESCONTOS!$B$183:$B$222,0),MATCH(EDATE($A$2,-12),DESCONTOS!$C$182:$BD$182,0)),0)))</x:f>
      </x:c>
      <x:c r="J70" s="411" t="str">
        <x:f>IF($A70="","",IFERROR(INDEX(DESCONTOS!$C$3:$BD$62,MATCH($A70,DESCONTOS!$B$3:$B$62,0),MATCH(EDATE($A$2,-12),DESCONTOS!$C$2:$BD$2,0)),IFERROR(INDEX(DESCONTOS!$C$141:$BD$180,MATCH($A70,DESCONTOS!$B$141:$B$180,0),MATCH(EDATE($A$2,-12),DESCONTOS!$C$140:$BD$140,0)),0)))</x:f>
      </x:c>
      <x:c r="K70" s="705" t="str">
        <x:f>IF($A70="","",IFERROR(INDEX('CADASTRO DE LOJAS'!$I$3:$I$41,MATCH($A$2,'CADASTRO DE LOJAS'!$H$3:$H$41,0)),6000))</x:f>
      </x:c>
      <x:c r="L70" s="707" t="str">
        <x:f>IF($A70="","",IF(D70&gt;K70,"SIM","NÃO"))</x:f>
      </x:c>
    </x:row>
    <x:row r="71" ht="20" hidden="1" customHeight="1">
      <x:c r="A71" s="32" t="str">
        <x:f>IF('CADASTRO DE LOJAS'!E72="SIM",'CADASTRO DE LOJAS'!B72,"")</x:f>
      </x:c>
      <x:c r="B71" s="703" t="str">
        <x:f>IF($A71="","",'CADASTRO DE LOJAS'!F72)</x:f>
      </x:c>
      <x:c r="C71" s="714" t="str">
        <x:f>IF($A71="","",'CADASTRO DE LOJAS'!D72)</x:f>
      </x:c>
      <x:c r="D71" s="705" t="str">
        <x:f>IF($A71="","",IFERROR(INDEX(ETIQUETAS!$C$3:$AO$102,MATCH($A71,ETIQUETAS!$B$3:$B$102,0),MATCH($A$2,ETIQUETAS!$C$2:$AO$2,0)),0))</x:f>
      </x:c>
      <x:c r="E71" s="723" t="str">
        <x:f>IF($A71="","",IFERROR(INDEX('DIVERGÊNCIAS'!$C$3:$AO$102,MATCH($A71,'DIVERGÊNCIAS'!$B$3:$B$102,0),MATCH($A$2,'DIVERGÊNCIAS'!$C$2:$AO$2,0)),0))</x:f>
      </x:c>
      <x:c r="F71" s="723" t="str">
        <x:f>IF($A71="","",IFERROR(INDEX('SEM PREÇO'!$C$3:$AO$102,MATCH($A71,'SEM PREÇO'!$B$3:$B$102,0),MATCH($A$2,'SEM PREÇO'!$C$2:$AO$2,0)),0))</x:f>
      </x:c>
      <x:c r="G71" s="705" t="str">
        <x:f>IF($A71="","",IFERROR(INDEX(DESCONTOS!$C$66:$BD$125,MATCH($A71,DESCONTOS!$B$66:$B$125,0),MATCH($A$2,DESCONTOS!$C$65:$BD$65,0)),IFERROR(INDEX(DESCONTOS!$C$183:$BD$222,MATCH($A71,DESCONTOS!$B$183:$B$222,0),MATCH($A$2,DESCONTOS!$C$182:$BD$182,0)),0)))</x:f>
      </x:c>
      <x:c r="H71" s="411" t="str">
        <x:f>IF($A71="","",IFERROR(INDEX(DESCONTOS!$C$3:$BD$62,MATCH($A71,DESCONTOS!$B$3:$B$62,0),MATCH($A$2,DESCONTOS!$C$2:$BD$2,0)),IFERROR(INDEX(DESCONTOS!$C$141:$BD$180,MATCH($A71,DESCONTOS!$B$141:$B$180,0),MATCH($A$2,DESCONTOS!$C$140:$BD$140,0)),0)))</x:f>
      </x:c>
      <x:c r="I71" s="705" t="str">
        <x:f>IF($A71="","",IFERROR(INDEX(DESCONTOS!$C$66:$BD$125,MATCH($A71,DESCONTOS!$B$66:$B$125,0),MATCH(EDATE($A$2,-12),DESCONTOS!$C$65:$BD$65,0)),IFERROR(INDEX(DESCONTOS!$C$183:$BD$222,MATCH($A71,DESCONTOS!$B$183:$B$222,0),MATCH(EDATE($A$2,-12),DESCONTOS!$C$182:$BD$182,0)),0)))</x:f>
      </x:c>
      <x:c r="J71" s="411" t="str">
        <x:f>IF($A71="","",IFERROR(INDEX(DESCONTOS!$C$3:$BD$62,MATCH($A71,DESCONTOS!$B$3:$B$62,0),MATCH(EDATE($A$2,-12),DESCONTOS!$C$2:$BD$2,0)),IFERROR(INDEX(DESCONTOS!$C$141:$BD$180,MATCH($A71,DESCONTOS!$B$141:$B$180,0),MATCH(EDATE($A$2,-12),DESCONTOS!$C$140:$BD$140,0)),0)))</x:f>
      </x:c>
      <x:c r="K71" s="705" t="str">
        <x:f>IF($A71="","",IFERROR(INDEX('CADASTRO DE LOJAS'!$I$3:$I$41,MATCH($A$2,'CADASTRO DE LOJAS'!$H$3:$H$41,0)),6000))</x:f>
      </x:c>
      <x:c r="L71" s="707" t="str">
        <x:f>IF($A71="","",IF(D71&gt;K71,"SIM","NÃO"))</x:f>
      </x:c>
    </x:row>
    <x:row r="72" ht="20" hidden="1" customHeight="1">
      <x:c r="A72" t="str">
        <x:f>IF('CADASTRO DE LOJAS'!E73="SIM",'CADASTRO DE LOJAS'!B73,"")</x:f>
      </x:c>
      <x:c r="B72" s="703" t="str">
        <x:f>IF($A72="","",'CADASTRO DE LOJAS'!F73)</x:f>
      </x:c>
      <x:c r="C72" s="714" t="str">
        <x:f>IF($A72="","",'CADASTRO DE LOJAS'!D73)</x:f>
      </x:c>
      <x:c r="D72" s="705" t="str">
        <x:f>IF($A72="","",IFERROR(INDEX(ETIQUETAS!$C$3:$AO$102,MATCH($A72,ETIQUETAS!$B$3:$B$102,0),MATCH($A$2,ETIQUETAS!$C$2:$AO$2,0)),0))</x:f>
      </x:c>
      <x:c r="E72" s="723" t="str">
        <x:f>IF($A72="","",IFERROR(INDEX('DIVERGÊNCIAS'!$C$3:$AO$102,MATCH($A72,'DIVERGÊNCIAS'!$B$3:$B$102,0),MATCH($A$2,'DIVERGÊNCIAS'!$C$2:$AO$2,0)),0))</x:f>
      </x:c>
      <x:c r="F72" s="723" t="str">
        <x:f>IF($A72="","",IFERROR(INDEX('SEM PREÇO'!$C$3:$AO$102,MATCH($A72,'SEM PREÇO'!$B$3:$B$102,0),MATCH($A$2,'SEM PREÇO'!$C$2:$AO$2,0)),0))</x:f>
      </x:c>
      <x:c r="G72" s="705" t="str">
        <x:f>IF($A72="","",IFERROR(INDEX(DESCONTOS!$C$66:$BD$125,MATCH($A72,DESCONTOS!$B$66:$B$125,0),MATCH($A$2,DESCONTOS!$C$65:$BD$65,0)),IFERROR(INDEX(DESCONTOS!$C$183:$BD$222,MATCH($A72,DESCONTOS!$B$183:$B$222,0),MATCH($A$2,DESCONTOS!$C$182:$BD$182,0)),0)))</x:f>
      </x:c>
      <x:c r="H72" s="411" t="str">
        <x:f>IF($A72="","",IFERROR(INDEX(DESCONTOS!$C$3:$BD$62,MATCH($A72,DESCONTOS!$B$3:$B$62,0),MATCH($A$2,DESCONTOS!$C$2:$BD$2,0)),IFERROR(INDEX(DESCONTOS!$C$141:$BD$180,MATCH($A72,DESCONTOS!$B$141:$B$180,0),MATCH($A$2,DESCONTOS!$C$140:$BD$140,0)),0)))</x:f>
      </x:c>
      <x:c r="I72" s="705" t="str">
        <x:f>IF($A72="","",IFERROR(INDEX(DESCONTOS!$C$66:$BD$125,MATCH($A72,DESCONTOS!$B$66:$B$125,0),MATCH(EDATE($A$2,-12),DESCONTOS!$C$65:$BD$65,0)),IFERROR(INDEX(DESCONTOS!$C$183:$BD$222,MATCH($A72,DESCONTOS!$B$183:$B$222,0),MATCH(EDATE($A$2,-12),DESCONTOS!$C$182:$BD$182,0)),0)))</x:f>
      </x:c>
      <x:c r="J72" s="411" t="str">
        <x:f>IF($A72="","",IFERROR(INDEX(DESCONTOS!$C$3:$BD$62,MATCH($A72,DESCONTOS!$B$3:$B$62,0),MATCH(EDATE($A$2,-12),DESCONTOS!$C$2:$BD$2,0)),IFERROR(INDEX(DESCONTOS!$C$141:$BD$180,MATCH($A72,DESCONTOS!$B$141:$B$180,0),MATCH(EDATE($A$2,-12),DESCONTOS!$C$140:$BD$140,0)),0)))</x:f>
      </x:c>
      <x:c r="K72" s="705" t="str">
        <x:f>IF($A72="","",IFERROR(INDEX('CADASTRO DE LOJAS'!$I$3:$I$41,MATCH($A$2,'CADASTRO DE LOJAS'!$H$3:$H$41,0)),6000))</x:f>
      </x:c>
      <x:c r="L72" s="707" t="str">
        <x:f>IF($A72="","",IF(D72&gt;K72,"SIM","NÃO"))</x:f>
      </x:c>
    </x:row>
    <x:row r="73" ht="20" hidden="1" customHeight="1">
      <x:c r="A73" t="str">
        <x:f>IF('CADASTRO DE LOJAS'!E74="SIM",'CADASTRO DE LOJAS'!B74,"")</x:f>
      </x:c>
      <x:c r="B73" s="703" t="str">
        <x:f>IF($A73="","",'CADASTRO DE LOJAS'!F74)</x:f>
      </x:c>
      <x:c r="C73" s="714" t="str">
        <x:f>IF($A73="","",'CADASTRO DE LOJAS'!D74)</x:f>
      </x:c>
      <x:c r="D73" s="705" t="str">
        <x:f>IF($A73="","",IFERROR(INDEX(ETIQUETAS!$C$3:$AO$102,MATCH($A73,ETIQUETAS!$B$3:$B$102,0),MATCH($A$2,ETIQUETAS!$C$2:$AO$2,0)),0))</x:f>
      </x:c>
      <x:c r="E73" s="723" t="str">
        <x:f>IF($A73="","",IFERROR(INDEX('DIVERGÊNCIAS'!$C$3:$AO$102,MATCH($A73,'DIVERGÊNCIAS'!$B$3:$B$102,0),MATCH($A$2,'DIVERGÊNCIAS'!$C$2:$AO$2,0)),0))</x:f>
      </x:c>
      <x:c r="F73" s="723" t="str">
        <x:f>IF($A73="","",IFERROR(INDEX('SEM PREÇO'!$C$3:$AO$102,MATCH($A73,'SEM PREÇO'!$B$3:$B$102,0),MATCH($A$2,'SEM PREÇO'!$C$2:$AO$2,0)),0))</x:f>
      </x:c>
      <x:c r="G73" s="705" t="str">
        <x:f>IF($A73="","",IFERROR(INDEX(DESCONTOS!$C$66:$BD$125,MATCH($A73,DESCONTOS!$B$66:$B$125,0),MATCH($A$2,DESCONTOS!$C$65:$BD$65,0)),IFERROR(INDEX(DESCONTOS!$C$183:$BD$222,MATCH($A73,DESCONTOS!$B$183:$B$222,0),MATCH($A$2,DESCONTOS!$C$182:$BD$182,0)),0)))</x:f>
      </x:c>
      <x:c r="H73" s="411" t="str">
        <x:f>IF($A73="","",IFERROR(INDEX(DESCONTOS!$C$3:$BD$62,MATCH($A73,DESCONTOS!$B$3:$B$62,0),MATCH($A$2,DESCONTOS!$C$2:$BD$2,0)),IFERROR(INDEX(DESCONTOS!$C$141:$BD$180,MATCH($A73,DESCONTOS!$B$141:$B$180,0),MATCH($A$2,DESCONTOS!$C$140:$BD$140,0)),0)))</x:f>
      </x:c>
      <x:c r="I73" s="705" t="str">
        <x:f>IF($A73="","",IFERROR(INDEX(DESCONTOS!$C$66:$BD$125,MATCH($A73,DESCONTOS!$B$66:$B$125,0),MATCH(EDATE($A$2,-12),DESCONTOS!$C$65:$BD$65,0)),IFERROR(INDEX(DESCONTOS!$C$183:$BD$222,MATCH($A73,DESCONTOS!$B$183:$B$222,0),MATCH(EDATE($A$2,-12),DESCONTOS!$C$182:$BD$182,0)),0)))</x:f>
      </x:c>
      <x:c r="J73" s="411" t="str">
        <x:f>IF($A73="","",IFERROR(INDEX(DESCONTOS!$C$3:$BD$62,MATCH($A73,DESCONTOS!$B$3:$B$62,0),MATCH(EDATE($A$2,-12),DESCONTOS!$C$2:$BD$2,0)),IFERROR(INDEX(DESCONTOS!$C$141:$BD$180,MATCH($A73,DESCONTOS!$B$141:$B$180,0),MATCH(EDATE($A$2,-12),DESCONTOS!$C$140:$BD$140,0)),0)))</x:f>
      </x:c>
      <x:c r="K73" s="705" t="str">
        <x:f>IF($A73="","",IFERROR(INDEX('CADASTRO DE LOJAS'!$I$3:$I$41,MATCH($A$2,'CADASTRO DE LOJAS'!$H$3:$H$41,0)),6000))</x:f>
      </x:c>
      <x:c r="L73" s="707" t="str">
        <x:f>IF($A73="","",IF(D73&gt;K73,"SIM","NÃO"))</x:f>
      </x:c>
    </x:row>
    <x:row r="74" ht="20" hidden="1" customHeight="1">
      <x:c r="A74" t="str">
        <x:f>IF('CADASTRO DE LOJAS'!E75="SIM",'CADASTRO DE LOJAS'!B75,"")</x:f>
      </x:c>
      <x:c r="B74" s="703" t="str">
        <x:f>IF($A74="","",'CADASTRO DE LOJAS'!F75)</x:f>
      </x:c>
      <x:c r="C74" s="714" t="str">
        <x:f>IF($A74="","",'CADASTRO DE LOJAS'!D75)</x:f>
      </x:c>
      <x:c r="D74" s="705" t="str">
        <x:f>IF($A74="","",IFERROR(INDEX(ETIQUETAS!$C$3:$AO$102,MATCH($A74,ETIQUETAS!$B$3:$B$102,0),MATCH($A$2,ETIQUETAS!$C$2:$AO$2,0)),0))</x:f>
      </x:c>
      <x:c r="E74" s="723" t="str">
        <x:f>IF($A74="","",IFERROR(INDEX('DIVERGÊNCIAS'!$C$3:$AO$102,MATCH($A74,'DIVERGÊNCIAS'!$B$3:$B$102,0),MATCH($A$2,'DIVERGÊNCIAS'!$C$2:$AO$2,0)),0))</x:f>
      </x:c>
      <x:c r="F74" s="723" t="str">
        <x:f>IF($A74="","",IFERROR(INDEX('SEM PREÇO'!$C$3:$AO$102,MATCH($A74,'SEM PREÇO'!$B$3:$B$102,0),MATCH($A$2,'SEM PREÇO'!$C$2:$AO$2,0)),0))</x:f>
      </x:c>
      <x:c r="G74" s="705" t="str">
        <x:f>IF($A74="","",IFERROR(INDEX(DESCONTOS!$C$66:$BD$125,MATCH($A74,DESCONTOS!$B$66:$B$125,0),MATCH($A$2,DESCONTOS!$C$65:$BD$65,0)),IFERROR(INDEX(DESCONTOS!$C$183:$BD$222,MATCH($A74,DESCONTOS!$B$183:$B$222,0),MATCH($A$2,DESCONTOS!$C$182:$BD$182,0)),0)))</x:f>
      </x:c>
      <x:c r="H74" s="411" t="str">
        <x:f>IF($A74="","",IFERROR(INDEX(DESCONTOS!$C$3:$BD$62,MATCH($A74,DESCONTOS!$B$3:$B$62,0),MATCH($A$2,DESCONTOS!$C$2:$BD$2,0)),IFERROR(INDEX(DESCONTOS!$C$141:$BD$180,MATCH($A74,DESCONTOS!$B$141:$B$180,0),MATCH($A$2,DESCONTOS!$C$140:$BD$140,0)),0)))</x:f>
      </x:c>
      <x:c r="I74" s="705" t="str">
        <x:f>IF($A74="","",IFERROR(INDEX(DESCONTOS!$C$66:$BD$125,MATCH($A74,DESCONTOS!$B$66:$B$125,0),MATCH(EDATE($A$2,-12),DESCONTOS!$C$65:$BD$65,0)),IFERROR(INDEX(DESCONTOS!$C$183:$BD$222,MATCH($A74,DESCONTOS!$B$183:$B$222,0),MATCH(EDATE($A$2,-12),DESCONTOS!$C$182:$BD$182,0)),0)))</x:f>
      </x:c>
      <x:c r="J74" s="411" t="str">
        <x:f>IF($A74="","",IFERROR(INDEX(DESCONTOS!$C$3:$BD$62,MATCH($A74,DESCONTOS!$B$3:$B$62,0),MATCH(EDATE($A$2,-12),DESCONTOS!$C$2:$BD$2,0)),IFERROR(INDEX(DESCONTOS!$C$141:$BD$180,MATCH($A74,DESCONTOS!$B$141:$B$180,0),MATCH(EDATE($A$2,-12),DESCONTOS!$C$140:$BD$140,0)),0)))</x:f>
      </x:c>
      <x:c r="K74" s="705" t="str">
        <x:f>IF($A74="","",IFERROR(INDEX('CADASTRO DE LOJAS'!$I$3:$I$41,MATCH($A$2,'CADASTRO DE LOJAS'!$H$3:$H$41,0)),6000))</x:f>
      </x:c>
      <x:c r="L74" s="707" t="str">
        <x:f>IF($A74="","",IF(D74&gt;K74,"SIM","NÃO"))</x:f>
      </x:c>
    </x:row>
    <x:row r="75" ht="20" hidden="1" customHeight="1">
      <x:c r="A75" t="str">
        <x:f>IF('CADASTRO DE LOJAS'!E76="SIM",'CADASTRO DE LOJAS'!B76,"")</x:f>
      </x:c>
      <x:c r="B75" s="703" t="str">
        <x:f>IF($A75="","",'CADASTRO DE LOJAS'!F76)</x:f>
      </x:c>
      <x:c r="C75" s="714" t="str">
        <x:f>IF($A75="","",'CADASTRO DE LOJAS'!D76)</x:f>
      </x:c>
      <x:c r="D75" s="705" t="str">
        <x:f>IF($A75="","",IFERROR(INDEX(ETIQUETAS!$C$3:$AO$102,MATCH($A75,ETIQUETAS!$B$3:$B$102,0),MATCH($A$2,ETIQUETAS!$C$2:$AO$2,0)),0))</x:f>
      </x:c>
      <x:c r="E75" s="723" t="str">
        <x:f>IF($A75="","",IFERROR(INDEX('DIVERGÊNCIAS'!$C$3:$AO$102,MATCH($A75,'DIVERGÊNCIAS'!$B$3:$B$102,0),MATCH($A$2,'DIVERGÊNCIAS'!$C$2:$AO$2,0)),0))</x:f>
      </x:c>
      <x:c r="F75" s="723" t="str">
        <x:f>IF($A75="","",IFERROR(INDEX('SEM PREÇO'!$C$3:$AO$102,MATCH($A75,'SEM PREÇO'!$B$3:$B$102,0),MATCH($A$2,'SEM PREÇO'!$C$2:$AO$2,0)),0))</x:f>
      </x:c>
      <x:c r="G75" s="705" t="str">
        <x:f>IF($A75="","",IFERROR(INDEX(DESCONTOS!$C$66:$BD$125,MATCH($A75,DESCONTOS!$B$66:$B$125,0),MATCH($A$2,DESCONTOS!$C$65:$BD$65,0)),IFERROR(INDEX(DESCONTOS!$C$183:$BD$222,MATCH($A75,DESCONTOS!$B$183:$B$222,0),MATCH($A$2,DESCONTOS!$C$182:$BD$182,0)),0)))</x:f>
      </x:c>
      <x:c r="H75" s="411" t="str">
        <x:f>IF($A75="","",IFERROR(INDEX(DESCONTOS!$C$3:$BD$62,MATCH($A75,DESCONTOS!$B$3:$B$62,0),MATCH($A$2,DESCONTOS!$C$2:$BD$2,0)),IFERROR(INDEX(DESCONTOS!$C$141:$BD$180,MATCH($A75,DESCONTOS!$B$141:$B$180,0),MATCH($A$2,DESCONTOS!$C$140:$BD$140,0)),0)))</x:f>
      </x:c>
      <x:c r="I75" s="705" t="str">
        <x:f>IF($A75="","",IFERROR(INDEX(DESCONTOS!$C$66:$BD$125,MATCH($A75,DESCONTOS!$B$66:$B$125,0),MATCH(EDATE($A$2,-12),DESCONTOS!$C$65:$BD$65,0)),IFERROR(INDEX(DESCONTOS!$C$183:$BD$222,MATCH($A75,DESCONTOS!$B$183:$B$222,0),MATCH(EDATE($A$2,-12),DESCONTOS!$C$182:$BD$182,0)),0)))</x:f>
      </x:c>
      <x:c r="J75" s="411" t="str">
        <x:f>IF($A75="","",IFERROR(INDEX(DESCONTOS!$C$3:$BD$62,MATCH($A75,DESCONTOS!$B$3:$B$62,0),MATCH(EDATE($A$2,-12),DESCONTOS!$C$2:$BD$2,0)),IFERROR(INDEX(DESCONTOS!$C$141:$BD$180,MATCH($A75,DESCONTOS!$B$141:$B$180,0),MATCH(EDATE($A$2,-12),DESCONTOS!$C$140:$BD$140,0)),0)))</x:f>
      </x:c>
      <x:c r="K75" s="705" t="str">
        <x:f>IF($A75="","",IFERROR(INDEX('CADASTRO DE LOJAS'!$I$3:$I$41,MATCH($A$2,'CADASTRO DE LOJAS'!$H$3:$H$41,0)),6000))</x:f>
      </x:c>
      <x:c r="L75" s="707" t="str">
        <x:f>IF($A75="","",IF(D75&gt;K75,"SIM","NÃO"))</x:f>
      </x:c>
    </x:row>
    <x:row r="76" ht="20" hidden="1" customHeight="1">
      <x:c r="A76" t="str">
        <x:f>IF('CADASTRO DE LOJAS'!E77="SIM",'CADASTRO DE LOJAS'!B77,"")</x:f>
      </x:c>
      <x:c r="B76" s="703" t="str">
        <x:f>IF($A76="","",'CADASTRO DE LOJAS'!F77)</x:f>
      </x:c>
      <x:c r="C76" s="714" t="str">
        <x:f>IF($A76="","",'CADASTRO DE LOJAS'!D77)</x:f>
      </x:c>
      <x:c r="D76" s="705" t="str">
        <x:f>IF($A76="","",IFERROR(INDEX(ETIQUETAS!$C$3:$AO$102,MATCH($A76,ETIQUETAS!$B$3:$B$102,0),MATCH($A$2,ETIQUETAS!$C$2:$AO$2,0)),0))</x:f>
      </x:c>
      <x:c r="E76" s="723" t="str">
        <x:f>IF($A76="","",IFERROR(INDEX('DIVERGÊNCIAS'!$C$3:$AO$102,MATCH($A76,'DIVERGÊNCIAS'!$B$3:$B$102,0),MATCH($A$2,'DIVERGÊNCIAS'!$C$2:$AO$2,0)),0))</x:f>
      </x:c>
      <x:c r="F76" s="723" t="str">
        <x:f>IF($A76="","",IFERROR(INDEX('SEM PREÇO'!$C$3:$AO$102,MATCH($A76,'SEM PREÇO'!$B$3:$B$102,0),MATCH($A$2,'SEM PREÇO'!$C$2:$AO$2,0)),0))</x:f>
      </x:c>
      <x:c r="G76" s="705" t="str">
        <x:f>IF($A76="","",IFERROR(INDEX(DESCONTOS!$C$66:$BD$125,MATCH($A76,DESCONTOS!$B$66:$B$125,0),MATCH($A$2,DESCONTOS!$C$65:$BD$65,0)),IFERROR(INDEX(DESCONTOS!$C$183:$BD$222,MATCH($A76,DESCONTOS!$B$183:$B$222,0),MATCH($A$2,DESCONTOS!$C$182:$BD$182,0)),0)))</x:f>
      </x:c>
      <x:c r="H76" s="411" t="str">
        <x:f>IF($A76="","",IFERROR(INDEX(DESCONTOS!$C$3:$BD$62,MATCH($A76,DESCONTOS!$B$3:$B$62,0),MATCH($A$2,DESCONTOS!$C$2:$BD$2,0)),IFERROR(INDEX(DESCONTOS!$C$141:$BD$180,MATCH($A76,DESCONTOS!$B$141:$B$180,0),MATCH($A$2,DESCONTOS!$C$140:$BD$140,0)),0)))</x:f>
      </x:c>
      <x:c r="I76" s="705" t="str">
        <x:f>IF($A76="","",IFERROR(INDEX(DESCONTOS!$C$66:$BD$125,MATCH($A76,DESCONTOS!$B$66:$B$125,0),MATCH(EDATE($A$2,-12),DESCONTOS!$C$65:$BD$65,0)),IFERROR(INDEX(DESCONTOS!$C$183:$BD$222,MATCH($A76,DESCONTOS!$B$183:$B$222,0),MATCH(EDATE($A$2,-12),DESCONTOS!$C$182:$BD$182,0)),0)))</x:f>
      </x:c>
      <x:c r="J76" s="411" t="str">
        <x:f>IF($A76="","",IFERROR(INDEX(DESCONTOS!$C$3:$BD$62,MATCH($A76,DESCONTOS!$B$3:$B$62,0),MATCH(EDATE($A$2,-12),DESCONTOS!$C$2:$BD$2,0)),IFERROR(INDEX(DESCONTOS!$C$141:$BD$180,MATCH($A76,DESCONTOS!$B$141:$B$180,0),MATCH(EDATE($A$2,-12),DESCONTOS!$C$140:$BD$140,0)),0)))</x:f>
      </x:c>
      <x:c r="K76" s="705" t="str">
        <x:f>IF($A76="","",IFERROR(INDEX('CADASTRO DE LOJAS'!$I$3:$I$41,MATCH($A$2,'CADASTRO DE LOJAS'!$H$3:$H$41,0)),6000))</x:f>
      </x:c>
      <x:c r="L76" s="707" t="str">
        <x:f>IF($A76="","",IF(D76&gt;K76,"SIM","NÃO"))</x:f>
      </x:c>
    </x:row>
    <x:row r="77" ht="20" hidden="1" customHeight="1">
      <x:c r="A77" t="str">
        <x:f>IF('CADASTRO DE LOJAS'!E78="SIM",'CADASTRO DE LOJAS'!B78,"")</x:f>
      </x:c>
      <x:c r="B77" s="703" t="str">
        <x:f>IF($A77="","",'CADASTRO DE LOJAS'!F78)</x:f>
      </x:c>
      <x:c r="C77" s="714" t="str">
        <x:f>IF($A77="","",'CADASTRO DE LOJAS'!D78)</x:f>
      </x:c>
      <x:c r="D77" s="705" t="str">
        <x:f>IF($A77="","",IFERROR(INDEX(ETIQUETAS!$C$3:$AO$102,MATCH($A77,ETIQUETAS!$B$3:$B$102,0),MATCH($A$2,ETIQUETAS!$C$2:$AO$2,0)),0))</x:f>
      </x:c>
      <x:c r="E77" s="723" t="str">
        <x:f>IF($A77="","",IFERROR(INDEX('DIVERGÊNCIAS'!$C$3:$AO$102,MATCH($A77,'DIVERGÊNCIAS'!$B$3:$B$102,0),MATCH($A$2,'DIVERGÊNCIAS'!$C$2:$AO$2,0)),0))</x:f>
      </x:c>
      <x:c r="F77" s="723" t="str">
        <x:f>IF($A77="","",IFERROR(INDEX('SEM PREÇO'!$C$3:$AO$102,MATCH($A77,'SEM PREÇO'!$B$3:$B$102,0),MATCH($A$2,'SEM PREÇO'!$C$2:$AO$2,0)),0))</x:f>
      </x:c>
      <x:c r="G77" s="705" t="str">
        <x:f>IF($A77="","",IFERROR(INDEX(DESCONTOS!$C$66:$BD$125,MATCH($A77,DESCONTOS!$B$66:$B$125,0),MATCH($A$2,DESCONTOS!$C$65:$BD$65,0)),IFERROR(INDEX(DESCONTOS!$C$183:$BD$222,MATCH($A77,DESCONTOS!$B$183:$B$222,0),MATCH($A$2,DESCONTOS!$C$182:$BD$182,0)),0)))</x:f>
      </x:c>
      <x:c r="H77" s="411" t="str">
        <x:f>IF($A77="","",IFERROR(INDEX(DESCONTOS!$C$3:$BD$62,MATCH($A77,DESCONTOS!$B$3:$B$62,0),MATCH($A$2,DESCONTOS!$C$2:$BD$2,0)),IFERROR(INDEX(DESCONTOS!$C$141:$BD$180,MATCH($A77,DESCONTOS!$B$141:$B$180,0),MATCH($A$2,DESCONTOS!$C$140:$BD$140,0)),0)))</x:f>
      </x:c>
      <x:c r="I77" s="705" t="str">
        <x:f>IF($A77="","",IFERROR(INDEX(DESCONTOS!$C$66:$BD$125,MATCH($A77,DESCONTOS!$B$66:$B$125,0),MATCH(EDATE($A$2,-12),DESCONTOS!$C$65:$BD$65,0)),IFERROR(INDEX(DESCONTOS!$C$183:$BD$222,MATCH($A77,DESCONTOS!$B$183:$B$222,0),MATCH(EDATE($A$2,-12),DESCONTOS!$C$182:$BD$182,0)),0)))</x:f>
      </x:c>
      <x:c r="J77" s="411" t="str">
        <x:f>IF($A77="","",IFERROR(INDEX(DESCONTOS!$C$3:$BD$62,MATCH($A77,DESCONTOS!$B$3:$B$62,0),MATCH(EDATE($A$2,-12),DESCONTOS!$C$2:$BD$2,0)),IFERROR(INDEX(DESCONTOS!$C$141:$BD$180,MATCH($A77,DESCONTOS!$B$141:$B$180,0),MATCH(EDATE($A$2,-12),DESCONTOS!$C$140:$BD$140,0)),0)))</x:f>
      </x:c>
      <x:c r="K77" s="705" t="str">
        <x:f>IF($A77="","",IFERROR(INDEX('CADASTRO DE LOJAS'!$I$3:$I$41,MATCH($A$2,'CADASTRO DE LOJAS'!$H$3:$H$41,0)),6000))</x:f>
      </x:c>
      <x:c r="L77" s="707" t="str">
        <x:f>IF($A77="","",IF(D77&gt;K77,"SIM","NÃO"))</x:f>
      </x:c>
    </x:row>
    <x:row r="78" ht="20" hidden="1" customHeight="1">
      <x:c r="A78" t="str">
        <x:f>IF('CADASTRO DE LOJAS'!E79="SIM",'CADASTRO DE LOJAS'!B79,"")</x:f>
      </x:c>
      <x:c r="B78" s="703" t="str">
        <x:f>IF($A78="","",'CADASTRO DE LOJAS'!F79)</x:f>
      </x:c>
      <x:c r="C78" s="714" t="str">
        <x:f>IF($A78="","",'CADASTRO DE LOJAS'!D79)</x:f>
      </x:c>
      <x:c r="D78" s="705" t="str">
        <x:f>IF($A78="","",IFERROR(INDEX(ETIQUETAS!$C$3:$AO$102,MATCH($A78,ETIQUETAS!$B$3:$B$102,0),MATCH($A$2,ETIQUETAS!$C$2:$AO$2,0)),0))</x:f>
      </x:c>
      <x:c r="E78" s="723" t="str">
        <x:f>IF($A78="","",IFERROR(INDEX('DIVERGÊNCIAS'!$C$3:$AO$102,MATCH($A78,'DIVERGÊNCIAS'!$B$3:$B$102,0),MATCH($A$2,'DIVERGÊNCIAS'!$C$2:$AO$2,0)),0))</x:f>
      </x:c>
      <x:c r="F78" s="723" t="str">
        <x:f>IF($A78="","",IFERROR(INDEX('SEM PREÇO'!$C$3:$AO$102,MATCH($A78,'SEM PREÇO'!$B$3:$B$102,0),MATCH($A$2,'SEM PREÇO'!$C$2:$AO$2,0)),0))</x:f>
      </x:c>
      <x:c r="G78" s="705" t="str">
        <x:f>IF($A78="","",IFERROR(INDEX(DESCONTOS!$C$66:$BD$125,MATCH($A78,DESCONTOS!$B$66:$B$125,0),MATCH($A$2,DESCONTOS!$C$65:$BD$65,0)),IFERROR(INDEX(DESCONTOS!$C$183:$BD$222,MATCH($A78,DESCONTOS!$B$183:$B$222,0),MATCH($A$2,DESCONTOS!$C$182:$BD$182,0)),0)))</x:f>
      </x:c>
      <x:c r="H78" s="411" t="str">
        <x:f>IF($A78="","",IFERROR(INDEX(DESCONTOS!$C$3:$BD$62,MATCH($A78,DESCONTOS!$B$3:$B$62,0),MATCH($A$2,DESCONTOS!$C$2:$BD$2,0)),IFERROR(INDEX(DESCONTOS!$C$141:$BD$180,MATCH($A78,DESCONTOS!$B$141:$B$180,0),MATCH($A$2,DESCONTOS!$C$140:$BD$140,0)),0)))</x:f>
      </x:c>
      <x:c r="I78" s="705" t="str">
        <x:f>IF($A78="","",IFERROR(INDEX(DESCONTOS!$C$66:$BD$125,MATCH($A78,DESCONTOS!$B$66:$B$125,0),MATCH(EDATE($A$2,-12),DESCONTOS!$C$65:$BD$65,0)),IFERROR(INDEX(DESCONTOS!$C$183:$BD$222,MATCH($A78,DESCONTOS!$B$183:$B$222,0),MATCH(EDATE($A$2,-12),DESCONTOS!$C$182:$BD$182,0)),0)))</x:f>
      </x:c>
      <x:c r="J78" s="411" t="str">
        <x:f>IF($A78="","",IFERROR(INDEX(DESCONTOS!$C$3:$BD$62,MATCH($A78,DESCONTOS!$B$3:$B$62,0),MATCH(EDATE($A$2,-12),DESCONTOS!$C$2:$BD$2,0)),IFERROR(INDEX(DESCONTOS!$C$141:$BD$180,MATCH($A78,DESCONTOS!$B$141:$B$180,0),MATCH(EDATE($A$2,-12),DESCONTOS!$C$140:$BD$140,0)),0)))</x:f>
      </x:c>
      <x:c r="K78" s="705" t="str">
        <x:f>IF($A78="","",IFERROR(INDEX('CADASTRO DE LOJAS'!$I$3:$I$41,MATCH($A$2,'CADASTRO DE LOJAS'!$H$3:$H$41,0)),6000))</x:f>
      </x:c>
      <x:c r="L78" s="707" t="str">
        <x:f>IF($A78="","",IF(D78&gt;K78,"SIM","NÃO"))</x:f>
      </x:c>
    </x:row>
    <x:row r="79" ht="20" hidden="1" customHeight="1">
      <x:c r="A79" t="str">
        <x:f>IF('CADASTRO DE LOJAS'!E80="SIM",'CADASTRO DE LOJAS'!B80,"")</x:f>
      </x:c>
      <x:c r="B79" s="703" t="str">
        <x:f>IF($A79="","",'CADASTRO DE LOJAS'!F80)</x:f>
      </x:c>
      <x:c r="C79" s="714" t="str">
        <x:f>IF($A79="","",'CADASTRO DE LOJAS'!D80)</x:f>
      </x:c>
      <x:c r="D79" s="705" t="str">
        <x:f>IF($A79="","",IFERROR(INDEX(ETIQUETAS!$C$3:$AO$102,MATCH($A79,ETIQUETAS!$B$3:$B$102,0),MATCH($A$2,ETIQUETAS!$C$2:$AO$2,0)),0))</x:f>
      </x:c>
      <x:c r="E79" s="723" t="str">
        <x:f>IF($A79="","",IFERROR(INDEX('DIVERGÊNCIAS'!$C$3:$AO$102,MATCH($A79,'DIVERGÊNCIAS'!$B$3:$B$102,0),MATCH($A$2,'DIVERGÊNCIAS'!$C$2:$AO$2,0)),0))</x:f>
      </x:c>
      <x:c r="F79" s="723" t="str">
        <x:f>IF($A79="","",IFERROR(INDEX('SEM PREÇO'!$C$3:$AO$102,MATCH($A79,'SEM PREÇO'!$B$3:$B$102,0),MATCH($A$2,'SEM PREÇO'!$C$2:$AO$2,0)),0))</x:f>
      </x:c>
      <x:c r="G79" s="705" t="str">
        <x:f>IF($A79="","",IFERROR(INDEX(DESCONTOS!$C$66:$BD$125,MATCH($A79,DESCONTOS!$B$66:$B$125,0),MATCH($A$2,DESCONTOS!$C$65:$BD$65,0)),IFERROR(INDEX(DESCONTOS!$C$183:$BD$222,MATCH($A79,DESCONTOS!$B$183:$B$222,0),MATCH($A$2,DESCONTOS!$C$182:$BD$182,0)),0)))</x:f>
      </x:c>
      <x:c r="H79" s="411" t="str">
        <x:f>IF($A79="","",IFERROR(INDEX(DESCONTOS!$C$3:$BD$62,MATCH($A79,DESCONTOS!$B$3:$B$62,0),MATCH($A$2,DESCONTOS!$C$2:$BD$2,0)),IFERROR(INDEX(DESCONTOS!$C$141:$BD$180,MATCH($A79,DESCONTOS!$B$141:$B$180,0),MATCH($A$2,DESCONTOS!$C$140:$BD$140,0)),0)))</x:f>
      </x:c>
      <x:c r="I79" s="705" t="str">
        <x:f>IF($A79="","",IFERROR(INDEX(DESCONTOS!$C$66:$BD$125,MATCH($A79,DESCONTOS!$B$66:$B$125,0),MATCH(EDATE($A$2,-12),DESCONTOS!$C$65:$BD$65,0)),IFERROR(INDEX(DESCONTOS!$C$183:$BD$222,MATCH($A79,DESCONTOS!$B$183:$B$222,0),MATCH(EDATE($A$2,-12),DESCONTOS!$C$182:$BD$182,0)),0)))</x:f>
      </x:c>
      <x:c r="J79" s="411" t="str">
        <x:f>IF($A79="","",IFERROR(INDEX(DESCONTOS!$C$3:$BD$62,MATCH($A79,DESCONTOS!$B$3:$B$62,0),MATCH(EDATE($A$2,-12),DESCONTOS!$C$2:$BD$2,0)),IFERROR(INDEX(DESCONTOS!$C$141:$BD$180,MATCH($A79,DESCONTOS!$B$141:$B$180,0),MATCH(EDATE($A$2,-12),DESCONTOS!$C$140:$BD$140,0)),0)))</x:f>
      </x:c>
      <x:c r="K79" s="705" t="str">
        <x:f>IF($A79="","",IFERROR(INDEX('CADASTRO DE LOJAS'!$I$3:$I$41,MATCH($A$2,'CADASTRO DE LOJAS'!$H$3:$H$41,0)),6000))</x:f>
      </x:c>
      <x:c r="L79" s="707" t="str">
        <x:f>IF($A79="","",IF(D79&gt;K79,"SIM","NÃO"))</x:f>
      </x:c>
    </x:row>
    <x:row r="80" ht="20" hidden="1" customHeight="1">
      <x:c r="A80" t="str">
        <x:f>IF('CADASTRO DE LOJAS'!E81="SIM",'CADASTRO DE LOJAS'!B81,"")</x:f>
      </x:c>
      <x:c r="B80" s="703" t="str">
        <x:f>IF($A80="","",'CADASTRO DE LOJAS'!F81)</x:f>
      </x:c>
      <x:c r="C80" s="714" t="str">
        <x:f>IF($A80="","",'CADASTRO DE LOJAS'!D81)</x:f>
      </x:c>
      <x:c r="D80" s="705" t="str">
        <x:f>IF($A80="","",IFERROR(INDEX(ETIQUETAS!$C$3:$AO$102,MATCH($A80,ETIQUETAS!$B$3:$B$102,0),MATCH($A$2,ETIQUETAS!$C$2:$AO$2,0)),0))</x:f>
      </x:c>
      <x:c r="E80" s="723" t="str">
        <x:f>IF($A80="","",IFERROR(INDEX('DIVERGÊNCIAS'!$C$3:$AO$102,MATCH($A80,'DIVERGÊNCIAS'!$B$3:$B$102,0),MATCH($A$2,'DIVERGÊNCIAS'!$C$2:$AO$2,0)),0))</x:f>
      </x:c>
      <x:c r="F80" s="723" t="str">
        <x:f>IF($A80="","",IFERROR(INDEX('SEM PREÇO'!$C$3:$AO$102,MATCH($A80,'SEM PREÇO'!$B$3:$B$102,0),MATCH($A$2,'SEM PREÇO'!$C$2:$AO$2,0)),0))</x:f>
      </x:c>
      <x:c r="G80" s="705" t="str">
        <x:f>IF($A80="","",IFERROR(INDEX(DESCONTOS!$C$66:$BD$125,MATCH($A80,DESCONTOS!$B$66:$B$125,0),MATCH($A$2,DESCONTOS!$C$65:$BD$65,0)),IFERROR(INDEX(DESCONTOS!$C$183:$BD$222,MATCH($A80,DESCONTOS!$B$183:$B$222,0),MATCH($A$2,DESCONTOS!$C$182:$BD$182,0)),0)))</x:f>
      </x:c>
      <x:c r="H80" s="411" t="str">
        <x:f>IF($A80="","",IFERROR(INDEX(DESCONTOS!$C$3:$BD$62,MATCH($A80,DESCONTOS!$B$3:$B$62,0),MATCH($A$2,DESCONTOS!$C$2:$BD$2,0)),IFERROR(INDEX(DESCONTOS!$C$141:$BD$180,MATCH($A80,DESCONTOS!$B$141:$B$180,0),MATCH($A$2,DESCONTOS!$C$140:$BD$140,0)),0)))</x:f>
      </x:c>
      <x:c r="I80" s="705" t="str">
        <x:f>IF($A80="","",IFERROR(INDEX(DESCONTOS!$C$66:$BD$125,MATCH($A80,DESCONTOS!$B$66:$B$125,0),MATCH(EDATE($A$2,-12),DESCONTOS!$C$65:$BD$65,0)),IFERROR(INDEX(DESCONTOS!$C$183:$BD$222,MATCH($A80,DESCONTOS!$B$183:$B$222,0),MATCH(EDATE($A$2,-12),DESCONTOS!$C$182:$BD$182,0)),0)))</x:f>
      </x:c>
      <x:c r="J80" s="411" t="str">
        <x:f>IF($A80="","",IFERROR(INDEX(DESCONTOS!$C$3:$BD$62,MATCH($A80,DESCONTOS!$B$3:$B$62,0),MATCH(EDATE($A$2,-12),DESCONTOS!$C$2:$BD$2,0)),IFERROR(INDEX(DESCONTOS!$C$141:$BD$180,MATCH($A80,DESCONTOS!$B$141:$B$180,0),MATCH(EDATE($A$2,-12),DESCONTOS!$C$140:$BD$140,0)),0)))</x:f>
      </x:c>
      <x:c r="K80" s="705" t="str">
        <x:f>IF($A80="","",IFERROR(INDEX('CADASTRO DE LOJAS'!$I$3:$I$41,MATCH($A$2,'CADASTRO DE LOJAS'!$H$3:$H$41,0)),6000))</x:f>
      </x:c>
      <x:c r="L80" s="707" t="str">
        <x:f>IF($A80="","",IF(D80&gt;K80,"SIM","NÃO"))</x:f>
      </x:c>
    </x:row>
    <x:row r="81" ht="20" hidden="1" customHeight="1">
      <x:c r="A81" t="str">
        <x:f>IF('CADASTRO DE LOJAS'!E82="SIM",'CADASTRO DE LOJAS'!B82,"")</x:f>
      </x:c>
      <x:c r="B81" s="703" t="str">
        <x:f>IF($A81="","",'CADASTRO DE LOJAS'!F82)</x:f>
      </x:c>
      <x:c r="C81" s="714" t="str">
        <x:f>IF($A81="","",'CADASTRO DE LOJAS'!D82)</x:f>
      </x:c>
      <x:c r="D81" s="705" t="str">
        <x:f>IF($A81="","",IFERROR(INDEX(ETIQUETAS!$C$3:$AO$102,MATCH($A81,ETIQUETAS!$B$3:$B$102,0),MATCH($A$2,ETIQUETAS!$C$2:$AO$2,0)),0))</x:f>
      </x:c>
      <x:c r="E81" s="723" t="str">
        <x:f>IF($A81="","",IFERROR(INDEX('DIVERGÊNCIAS'!$C$3:$AO$102,MATCH($A81,'DIVERGÊNCIAS'!$B$3:$B$102,0),MATCH($A$2,'DIVERGÊNCIAS'!$C$2:$AO$2,0)),0))</x:f>
      </x:c>
      <x:c r="F81" s="723" t="str">
        <x:f>IF($A81="","",IFERROR(INDEX('SEM PREÇO'!$C$3:$AO$102,MATCH($A81,'SEM PREÇO'!$B$3:$B$102,0),MATCH($A$2,'SEM PREÇO'!$C$2:$AO$2,0)),0))</x:f>
      </x:c>
      <x:c r="G81" s="705" t="str">
        <x:f>IF($A81="","",IFERROR(INDEX(DESCONTOS!$C$66:$BD$125,MATCH($A81,DESCONTOS!$B$66:$B$125,0),MATCH($A$2,DESCONTOS!$C$65:$BD$65,0)),IFERROR(INDEX(DESCONTOS!$C$183:$BD$222,MATCH($A81,DESCONTOS!$B$183:$B$222,0),MATCH($A$2,DESCONTOS!$C$182:$BD$182,0)),0)))</x:f>
      </x:c>
      <x:c r="H81" s="411" t="str">
        <x:f>IF($A81="","",IFERROR(INDEX(DESCONTOS!$C$3:$BD$62,MATCH($A81,DESCONTOS!$B$3:$B$62,0),MATCH($A$2,DESCONTOS!$C$2:$BD$2,0)),IFERROR(INDEX(DESCONTOS!$C$141:$BD$180,MATCH($A81,DESCONTOS!$B$141:$B$180,0),MATCH($A$2,DESCONTOS!$C$140:$BD$140,0)),0)))</x:f>
      </x:c>
      <x:c r="I81" s="705" t="str">
        <x:f>IF($A81="","",IFERROR(INDEX(DESCONTOS!$C$66:$BD$125,MATCH($A81,DESCONTOS!$B$66:$B$125,0),MATCH(EDATE($A$2,-12),DESCONTOS!$C$65:$BD$65,0)),IFERROR(INDEX(DESCONTOS!$C$183:$BD$222,MATCH($A81,DESCONTOS!$B$183:$B$222,0),MATCH(EDATE($A$2,-12),DESCONTOS!$C$182:$BD$182,0)),0)))</x:f>
      </x:c>
      <x:c r="J81" s="411" t="str">
        <x:f>IF($A81="","",IFERROR(INDEX(DESCONTOS!$C$3:$BD$62,MATCH($A81,DESCONTOS!$B$3:$B$62,0),MATCH(EDATE($A$2,-12),DESCONTOS!$C$2:$BD$2,0)),IFERROR(INDEX(DESCONTOS!$C$141:$BD$180,MATCH($A81,DESCONTOS!$B$141:$B$180,0),MATCH(EDATE($A$2,-12),DESCONTOS!$C$140:$BD$140,0)),0)))</x:f>
      </x:c>
      <x:c r="K81" s="705" t="str">
        <x:f>IF($A81="","",IFERROR(INDEX('CADASTRO DE LOJAS'!$I$3:$I$41,MATCH($A$2,'CADASTRO DE LOJAS'!$H$3:$H$41,0)),6000))</x:f>
      </x:c>
      <x:c r="L81" s="707" t="str">
        <x:f>IF($A81="","",IF(D81&gt;K81,"SIM","NÃO"))</x:f>
      </x:c>
    </x:row>
    <x:row r="82" ht="20" hidden="1" customHeight="1">
      <x:c r="A82" t="str">
        <x:f>IF('CADASTRO DE LOJAS'!E83="SIM",'CADASTRO DE LOJAS'!B83,"")</x:f>
      </x:c>
      <x:c r="B82" s="703" t="str">
        <x:f>IF($A82="","",'CADASTRO DE LOJAS'!F83)</x:f>
      </x:c>
      <x:c r="C82" s="714" t="str">
        <x:f>IF($A82="","",'CADASTRO DE LOJAS'!D83)</x:f>
      </x:c>
      <x:c r="D82" s="705" t="str">
        <x:f>IF($A82="","",IFERROR(INDEX(ETIQUETAS!$C$3:$AO$102,MATCH($A82,ETIQUETAS!$B$3:$B$102,0),MATCH($A$2,ETIQUETAS!$C$2:$AO$2,0)),0))</x:f>
      </x:c>
      <x:c r="E82" s="723" t="str">
        <x:f>IF($A82="","",IFERROR(INDEX('DIVERGÊNCIAS'!$C$3:$AO$102,MATCH($A82,'DIVERGÊNCIAS'!$B$3:$B$102,0),MATCH($A$2,'DIVERGÊNCIAS'!$C$2:$AO$2,0)),0))</x:f>
      </x:c>
      <x:c r="F82" s="723" t="str">
        <x:f>IF($A82="","",IFERROR(INDEX('SEM PREÇO'!$C$3:$AO$102,MATCH($A82,'SEM PREÇO'!$B$3:$B$102,0),MATCH($A$2,'SEM PREÇO'!$C$2:$AO$2,0)),0))</x:f>
      </x:c>
      <x:c r="G82" s="705" t="str">
        <x:f>IF($A82="","",IFERROR(INDEX(DESCONTOS!$C$66:$BD$125,MATCH($A82,DESCONTOS!$B$66:$B$125,0),MATCH($A$2,DESCONTOS!$C$65:$BD$65,0)),IFERROR(INDEX(DESCONTOS!$C$183:$BD$222,MATCH($A82,DESCONTOS!$B$183:$B$222,0),MATCH($A$2,DESCONTOS!$C$182:$BD$182,0)),0)))</x:f>
      </x:c>
      <x:c r="H82" s="411" t="str">
        <x:f>IF($A82="","",IFERROR(INDEX(DESCONTOS!$C$3:$BD$62,MATCH($A82,DESCONTOS!$B$3:$B$62,0),MATCH($A$2,DESCONTOS!$C$2:$BD$2,0)),IFERROR(INDEX(DESCONTOS!$C$141:$BD$180,MATCH($A82,DESCONTOS!$B$141:$B$180,0),MATCH($A$2,DESCONTOS!$C$140:$BD$140,0)),0)))</x:f>
      </x:c>
      <x:c r="I82" s="705" t="str">
        <x:f>IF($A82="","",IFERROR(INDEX(DESCONTOS!$C$66:$BD$125,MATCH($A82,DESCONTOS!$B$66:$B$125,0),MATCH(EDATE($A$2,-12),DESCONTOS!$C$65:$BD$65,0)),IFERROR(INDEX(DESCONTOS!$C$183:$BD$222,MATCH($A82,DESCONTOS!$B$183:$B$222,0),MATCH(EDATE($A$2,-12),DESCONTOS!$C$182:$BD$182,0)),0)))</x:f>
      </x:c>
      <x:c r="J82" s="411" t="str">
        <x:f>IF($A82="","",IFERROR(INDEX(DESCONTOS!$C$3:$BD$62,MATCH($A82,DESCONTOS!$B$3:$B$62,0),MATCH(EDATE($A$2,-12),DESCONTOS!$C$2:$BD$2,0)),IFERROR(INDEX(DESCONTOS!$C$141:$BD$180,MATCH($A82,DESCONTOS!$B$141:$B$180,0),MATCH(EDATE($A$2,-12),DESCONTOS!$C$140:$BD$140,0)),0)))</x:f>
      </x:c>
      <x:c r="K82" s="705" t="str">
        <x:f>IF($A82="","",IFERROR(INDEX('CADASTRO DE LOJAS'!$I$3:$I$41,MATCH($A$2,'CADASTRO DE LOJAS'!$H$3:$H$41,0)),6000))</x:f>
      </x:c>
      <x:c r="L82" s="707" t="str">
        <x:f>IF($A82="","",IF(D82&gt;K82,"SIM","NÃO"))</x:f>
      </x:c>
    </x:row>
    <x:row r="83" ht="20" hidden="1" customHeight="1">
      <x:c r="A83" t="str">
        <x:f>IF('CADASTRO DE LOJAS'!E84="SIM",'CADASTRO DE LOJAS'!B84,"")</x:f>
      </x:c>
      <x:c r="B83" s="703" t="str">
        <x:f>IF($A83="","",'CADASTRO DE LOJAS'!F84)</x:f>
      </x:c>
      <x:c r="C83" s="714" t="str">
        <x:f>IF($A83="","",'CADASTRO DE LOJAS'!D84)</x:f>
      </x:c>
      <x:c r="D83" s="705" t="str">
        <x:f>IF($A83="","",IFERROR(INDEX(ETIQUETAS!$C$3:$AO$102,MATCH($A83,ETIQUETAS!$B$3:$B$102,0),MATCH($A$2,ETIQUETAS!$C$2:$AO$2,0)),0))</x:f>
      </x:c>
      <x:c r="E83" s="723" t="str">
        <x:f>IF($A83="","",IFERROR(INDEX('DIVERGÊNCIAS'!$C$3:$AO$102,MATCH($A83,'DIVERGÊNCIAS'!$B$3:$B$102,0),MATCH($A$2,'DIVERGÊNCIAS'!$C$2:$AO$2,0)),0))</x:f>
      </x:c>
      <x:c r="F83" s="723" t="str">
        <x:f>IF($A83="","",IFERROR(INDEX('SEM PREÇO'!$C$3:$AO$102,MATCH($A83,'SEM PREÇO'!$B$3:$B$102,0),MATCH($A$2,'SEM PREÇO'!$C$2:$AO$2,0)),0))</x:f>
      </x:c>
      <x:c r="G83" s="705" t="str">
        <x:f>IF($A83="","",IFERROR(INDEX(DESCONTOS!$C$66:$BD$125,MATCH($A83,DESCONTOS!$B$66:$B$125,0),MATCH($A$2,DESCONTOS!$C$65:$BD$65,0)),IFERROR(INDEX(DESCONTOS!$C$183:$BD$222,MATCH($A83,DESCONTOS!$B$183:$B$222,0),MATCH($A$2,DESCONTOS!$C$182:$BD$182,0)),0)))</x:f>
      </x:c>
      <x:c r="H83" s="411" t="str">
        <x:f>IF($A83="","",IFERROR(INDEX(DESCONTOS!$C$3:$BD$62,MATCH($A83,DESCONTOS!$B$3:$B$62,0),MATCH($A$2,DESCONTOS!$C$2:$BD$2,0)),IFERROR(INDEX(DESCONTOS!$C$141:$BD$180,MATCH($A83,DESCONTOS!$B$141:$B$180,0),MATCH($A$2,DESCONTOS!$C$140:$BD$140,0)),0)))</x:f>
      </x:c>
      <x:c r="I83" s="705" t="str">
        <x:f>IF($A83="","",IFERROR(INDEX(DESCONTOS!$C$66:$BD$125,MATCH($A83,DESCONTOS!$B$66:$B$125,0),MATCH(EDATE($A$2,-12),DESCONTOS!$C$65:$BD$65,0)),IFERROR(INDEX(DESCONTOS!$C$183:$BD$222,MATCH($A83,DESCONTOS!$B$183:$B$222,0),MATCH(EDATE($A$2,-12),DESCONTOS!$C$182:$BD$182,0)),0)))</x:f>
      </x:c>
      <x:c r="J83" s="411" t="str">
        <x:f>IF($A83="","",IFERROR(INDEX(DESCONTOS!$C$3:$BD$62,MATCH($A83,DESCONTOS!$B$3:$B$62,0),MATCH(EDATE($A$2,-12),DESCONTOS!$C$2:$BD$2,0)),IFERROR(INDEX(DESCONTOS!$C$141:$BD$180,MATCH($A83,DESCONTOS!$B$141:$B$180,0),MATCH(EDATE($A$2,-12),DESCONTOS!$C$140:$BD$140,0)),0)))</x:f>
      </x:c>
      <x:c r="K83" s="705" t="str">
        <x:f>IF($A83="","",IFERROR(INDEX('CADASTRO DE LOJAS'!$I$3:$I$41,MATCH($A$2,'CADASTRO DE LOJAS'!$H$3:$H$41,0)),6000))</x:f>
      </x:c>
      <x:c r="L83" s="707" t="str">
        <x:f>IF($A83="","",IF(D83&gt;K83,"SIM","NÃO"))</x:f>
      </x:c>
    </x:row>
    <x:row r="84" ht="20" hidden="1" customHeight="1">
      <x:c r="A84" t="str">
        <x:f>IF('CADASTRO DE LOJAS'!E85="SIM",'CADASTRO DE LOJAS'!B85,"")</x:f>
      </x:c>
      <x:c r="B84" s="703" t="str">
        <x:f>IF($A84="","",'CADASTRO DE LOJAS'!F85)</x:f>
      </x:c>
      <x:c r="C84" s="714" t="str">
        <x:f>IF($A84="","",'CADASTRO DE LOJAS'!D85)</x:f>
      </x:c>
      <x:c r="D84" s="705" t="str">
        <x:f>IF($A84="","",IFERROR(INDEX(ETIQUETAS!$C$3:$AO$102,MATCH($A84,ETIQUETAS!$B$3:$B$102,0),MATCH($A$2,ETIQUETAS!$C$2:$AO$2,0)),0))</x:f>
      </x:c>
      <x:c r="E84" s="723" t="str">
        <x:f>IF($A84="","",IFERROR(INDEX('DIVERGÊNCIAS'!$C$3:$AO$102,MATCH($A84,'DIVERGÊNCIAS'!$B$3:$B$102,0),MATCH($A$2,'DIVERGÊNCIAS'!$C$2:$AO$2,0)),0))</x:f>
      </x:c>
      <x:c r="F84" s="723" t="str">
        <x:f>IF($A84="","",IFERROR(INDEX('SEM PREÇO'!$C$3:$AO$102,MATCH($A84,'SEM PREÇO'!$B$3:$B$102,0),MATCH($A$2,'SEM PREÇO'!$C$2:$AO$2,0)),0))</x:f>
      </x:c>
      <x:c r="G84" s="705" t="str">
        <x:f>IF($A84="","",IFERROR(INDEX(DESCONTOS!$C$66:$BD$125,MATCH($A84,DESCONTOS!$B$66:$B$125,0),MATCH($A$2,DESCONTOS!$C$65:$BD$65,0)),IFERROR(INDEX(DESCONTOS!$C$183:$BD$222,MATCH($A84,DESCONTOS!$B$183:$B$222,0),MATCH($A$2,DESCONTOS!$C$182:$BD$182,0)),0)))</x:f>
      </x:c>
      <x:c r="H84" s="411" t="str">
        <x:f>IF($A84="","",IFERROR(INDEX(DESCONTOS!$C$3:$BD$62,MATCH($A84,DESCONTOS!$B$3:$B$62,0),MATCH($A$2,DESCONTOS!$C$2:$BD$2,0)),IFERROR(INDEX(DESCONTOS!$C$141:$BD$180,MATCH($A84,DESCONTOS!$B$141:$B$180,0),MATCH($A$2,DESCONTOS!$C$140:$BD$140,0)),0)))</x:f>
      </x:c>
      <x:c r="I84" s="705" t="str">
        <x:f>IF($A84="","",IFERROR(INDEX(DESCONTOS!$C$66:$BD$125,MATCH($A84,DESCONTOS!$B$66:$B$125,0),MATCH(EDATE($A$2,-12),DESCONTOS!$C$65:$BD$65,0)),IFERROR(INDEX(DESCONTOS!$C$183:$BD$222,MATCH($A84,DESCONTOS!$B$183:$B$222,0),MATCH(EDATE($A$2,-12),DESCONTOS!$C$182:$BD$182,0)),0)))</x:f>
      </x:c>
      <x:c r="J84" s="411" t="str">
        <x:f>IF($A84="","",IFERROR(INDEX(DESCONTOS!$C$3:$BD$62,MATCH($A84,DESCONTOS!$B$3:$B$62,0),MATCH(EDATE($A$2,-12),DESCONTOS!$C$2:$BD$2,0)),IFERROR(INDEX(DESCONTOS!$C$141:$BD$180,MATCH($A84,DESCONTOS!$B$141:$B$180,0),MATCH(EDATE($A$2,-12),DESCONTOS!$C$140:$BD$140,0)),0)))</x:f>
      </x:c>
      <x:c r="K84" s="705" t="str">
        <x:f>IF($A84="","",IFERROR(INDEX('CADASTRO DE LOJAS'!$I$3:$I$41,MATCH($A$2,'CADASTRO DE LOJAS'!$H$3:$H$41,0)),6000))</x:f>
      </x:c>
      <x:c r="L84" s="707" t="str">
        <x:f>IF($A84="","",IF(D84&gt;K84,"SIM","NÃO"))</x:f>
      </x:c>
    </x:row>
    <x:row r="85" ht="20" hidden="1" customHeight="1">
      <x:c r="A85" t="str">
        <x:f>IF('CADASTRO DE LOJAS'!E86="SIM",'CADASTRO DE LOJAS'!B86,"")</x:f>
      </x:c>
      <x:c r="B85" s="703" t="str">
        <x:f>IF($A85="","",'CADASTRO DE LOJAS'!F86)</x:f>
      </x:c>
      <x:c r="C85" s="714" t="str">
        <x:f>IF($A85="","",'CADASTRO DE LOJAS'!D86)</x:f>
      </x:c>
      <x:c r="D85" s="705" t="str">
        <x:f>IF($A85="","",IFERROR(INDEX(ETIQUETAS!$C$3:$AO$102,MATCH($A85,ETIQUETAS!$B$3:$B$102,0),MATCH($A$2,ETIQUETAS!$C$2:$AO$2,0)),0))</x:f>
      </x:c>
      <x:c r="E85" s="723" t="str">
        <x:f>IF($A85="","",IFERROR(INDEX('DIVERGÊNCIAS'!$C$3:$AO$102,MATCH($A85,'DIVERGÊNCIAS'!$B$3:$B$102,0),MATCH($A$2,'DIVERGÊNCIAS'!$C$2:$AO$2,0)),0))</x:f>
      </x:c>
      <x:c r="F85" s="723" t="str">
        <x:f>IF($A85="","",IFERROR(INDEX('SEM PREÇO'!$C$3:$AO$102,MATCH($A85,'SEM PREÇO'!$B$3:$B$102,0),MATCH($A$2,'SEM PREÇO'!$C$2:$AO$2,0)),0))</x:f>
      </x:c>
      <x:c r="G85" s="705" t="str">
        <x:f>IF($A85="","",IFERROR(INDEX(DESCONTOS!$C$66:$BD$125,MATCH($A85,DESCONTOS!$B$66:$B$125,0),MATCH($A$2,DESCONTOS!$C$65:$BD$65,0)),IFERROR(INDEX(DESCONTOS!$C$183:$BD$222,MATCH($A85,DESCONTOS!$B$183:$B$222,0),MATCH($A$2,DESCONTOS!$C$182:$BD$182,0)),0)))</x:f>
      </x:c>
      <x:c r="H85" s="411" t="str">
        <x:f>IF($A85="","",IFERROR(INDEX(DESCONTOS!$C$3:$BD$62,MATCH($A85,DESCONTOS!$B$3:$B$62,0),MATCH($A$2,DESCONTOS!$C$2:$BD$2,0)),IFERROR(INDEX(DESCONTOS!$C$141:$BD$180,MATCH($A85,DESCONTOS!$B$141:$B$180,0),MATCH($A$2,DESCONTOS!$C$140:$BD$140,0)),0)))</x:f>
      </x:c>
      <x:c r="I85" s="705" t="str">
        <x:f>IF($A85="","",IFERROR(INDEX(DESCONTOS!$C$66:$BD$125,MATCH($A85,DESCONTOS!$B$66:$B$125,0),MATCH(EDATE($A$2,-12),DESCONTOS!$C$65:$BD$65,0)),IFERROR(INDEX(DESCONTOS!$C$183:$BD$222,MATCH($A85,DESCONTOS!$B$183:$B$222,0),MATCH(EDATE($A$2,-12),DESCONTOS!$C$182:$BD$182,0)),0)))</x:f>
      </x:c>
      <x:c r="J85" s="411" t="str">
        <x:f>IF($A85="","",IFERROR(INDEX(DESCONTOS!$C$3:$BD$62,MATCH($A85,DESCONTOS!$B$3:$B$62,0),MATCH(EDATE($A$2,-12),DESCONTOS!$C$2:$BD$2,0)),IFERROR(INDEX(DESCONTOS!$C$141:$BD$180,MATCH($A85,DESCONTOS!$B$141:$B$180,0),MATCH(EDATE($A$2,-12),DESCONTOS!$C$140:$BD$140,0)),0)))</x:f>
      </x:c>
      <x:c r="K85" s="705" t="str">
        <x:f>IF($A85="","",IFERROR(INDEX('CADASTRO DE LOJAS'!$I$3:$I$41,MATCH($A$2,'CADASTRO DE LOJAS'!$H$3:$H$41,0)),6000))</x:f>
      </x:c>
      <x:c r="L85" s="707" t="str">
        <x:f>IF($A85="","",IF(D85&gt;K85,"SIM","NÃO"))</x:f>
      </x:c>
    </x:row>
    <x:row r="86" ht="20" hidden="1" customHeight="1">
      <x:c r="A86" t="str">
        <x:f>IF('CADASTRO DE LOJAS'!E87="SIM",'CADASTRO DE LOJAS'!B87,"")</x:f>
      </x:c>
      <x:c r="B86" s="703" t="str">
        <x:f>IF($A86="","",'CADASTRO DE LOJAS'!F87)</x:f>
      </x:c>
      <x:c r="C86" s="714" t="str">
        <x:f>IF($A86="","",'CADASTRO DE LOJAS'!D87)</x:f>
      </x:c>
      <x:c r="D86" s="705" t="str">
        <x:f>IF($A86="","",IFERROR(INDEX(ETIQUETAS!$C$3:$AO$102,MATCH($A86,ETIQUETAS!$B$3:$B$102,0),MATCH($A$2,ETIQUETAS!$C$2:$AO$2,0)),0))</x:f>
      </x:c>
      <x:c r="E86" s="723" t="str">
        <x:f>IF($A86="","",IFERROR(INDEX('DIVERGÊNCIAS'!$C$3:$AO$102,MATCH($A86,'DIVERGÊNCIAS'!$B$3:$B$102,0),MATCH($A$2,'DIVERGÊNCIAS'!$C$2:$AO$2,0)),0))</x:f>
      </x:c>
      <x:c r="F86" s="723" t="str">
        <x:f>IF($A86="","",IFERROR(INDEX('SEM PREÇO'!$C$3:$AO$102,MATCH($A86,'SEM PREÇO'!$B$3:$B$102,0),MATCH($A$2,'SEM PREÇO'!$C$2:$AO$2,0)),0))</x:f>
      </x:c>
      <x:c r="G86" s="705" t="str">
        <x:f>IF($A86="","",IFERROR(INDEX(DESCONTOS!$C$66:$BD$125,MATCH($A86,DESCONTOS!$B$66:$B$125,0),MATCH($A$2,DESCONTOS!$C$65:$BD$65,0)),IFERROR(INDEX(DESCONTOS!$C$183:$BD$222,MATCH($A86,DESCONTOS!$B$183:$B$222,0),MATCH($A$2,DESCONTOS!$C$182:$BD$182,0)),0)))</x:f>
      </x:c>
      <x:c r="H86" s="411" t="str">
        <x:f>IF($A86="","",IFERROR(INDEX(DESCONTOS!$C$3:$BD$62,MATCH($A86,DESCONTOS!$B$3:$B$62,0),MATCH($A$2,DESCONTOS!$C$2:$BD$2,0)),IFERROR(INDEX(DESCONTOS!$C$141:$BD$180,MATCH($A86,DESCONTOS!$B$141:$B$180,0),MATCH($A$2,DESCONTOS!$C$140:$BD$140,0)),0)))</x:f>
      </x:c>
      <x:c r="I86" s="705" t="str">
        <x:f>IF($A86="","",IFERROR(INDEX(DESCONTOS!$C$66:$BD$125,MATCH($A86,DESCONTOS!$B$66:$B$125,0),MATCH(EDATE($A$2,-12),DESCONTOS!$C$65:$BD$65,0)),IFERROR(INDEX(DESCONTOS!$C$183:$BD$222,MATCH($A86,DESCONTOS!$B$183:$B$222,0),MATCH(EDATE($A$2,-12),DESCONTOS!$C$182:$BD$182,0)),0)))</x:f>
      </x:c>
      <x:c r="J86" s="411" t="str">
        <x:f>IF($A86="","",IFERROR(INDEX(DESCONTOS!$C$3:$BD$62,MATCH($A86,DESCONTOS!$B$3:$B$62,0),MATCH(EDATE($A$2,-12),DESCONTOS!$C$2:$BD$2,0)),IFERROR(INDEX(DESCONTOS!$C$141:$BD$180,MATCH($A86,DESCONTOS!$B$141:$B$180,0),MATCH(EDATE($A$2,-12),DESCONTOS!$C$140:$BD$140,0)),0)))</x:f>
      </x:c>
      <x:c r="K86" s="705" t="str">
        <x:f>IF($A86="","",IFERROR(INDEX('CADASTRO DE LOJAS'!$I$3:$I$41,MATCH($A$2,'CADASTRO DE LOJAS'!$H$3:$H$41,0)),6000))</x:f>
      </x:c>
      <x:c r="L86" s="707" t="str">
        <x:f>IF($A86="","",IF(D86&gt;K86,"SIM","NÃO"))</x:f>
      </x:c>
    </x:row>
    <x:row r="87" ht="20" hidden="1" customHeight="1">
      <x:c r="A87" t="str">
        <x:f>IF('CADASTRO DE LOJAS'!E88="SIM",'CADASTRO DE LOJAS'!B88,"")</x:f>
      </x:c>
      <x:c r="B87" s="703" t="str">
        <x:f>IF($A87="","",'CADASTRO DE LOJAS'!F88)</x:f>
      </x:c>
      <x:c r="C87" s="714" t="str">
        <x:f>IF($A87="","",'CADASTRO DE LOJAS'!D88)</x:f>
      </x:c>
      <x:c r="D87" s="705" t="str">
        <x:f>IF($A87="","",IFERROR(INDEX(ETIQUETAS!$C$3:$AO$102,MATCH($A87,ETIQUETAS!$B$3:$B$102,0),MATCH($A$2,ETIQUETAS!$C$2:$AO$2,0)),0))</x:f>
      </x:c>
      <x:c r="E87" s="723" t="str">
        <x:f>IF($A87="","",IFERROR(INDEX('DIVERGÊNCIAS'!$C$3:$AO$102,MATCH($A87,'DIVERGÊNCIAS'!$B$3:$B$102,0),MATCH($A$2,'DIVERGÊNCIAS'!$C$2:$AO$2,0)),0))</x:f>
      </x:c>
      <x:c r="F87" s="723" t="str">
        <x:f>IF($A87="","",IFERROR(INDEX('SEM PREÇO'!$C$3:$AO$102,MATCH($A87,'SEM PREÇO'!$B$3:$B$102,0),MATCH($A$2,'SEM PREÇO'!$C$2:$AO$2,0)),0))</x:f>
      </x:c>
      <x:c r="G87" s="705" t="str">
        <x:f>IF($A87="","",IFERROR(INDEX(DESCONTOS!$C$66:$BD$125,MATCH($A87,DESCONTOS!$B$66:$B$125,0),MATCH($A$2,DESCONTOS!$C$65:$BD$65,0)),IFERROR(INDEX(DESCONTOS!$C$183:$BD$222,MATCH($A87,DESCONTOS!$B$183:$B$222,0),MATCH($A$2,DESCONTOS!$C$182:$BD$182,0)),0)))</x:f>
      </x:c>
      <x:c r="H87" s="411" t="str">
        <x:f>IF($A87="","",IFERROR(INDEX(DESCONTOS!$C$3:$BD$62,MATCH($A87,DESCONTOS!$B$3:$B$62,0),MATCH($A$2,DESCONTOS!$C$2:$BD$2,0)),IFERROR(INDEX(DESCONTOS!$C$141:$BD$180,MATCH($A87,DESCONTOS!$B$141:$B$180,0),MATCH($A$2,DESCONTOS!$C$140:$BD$140,0)),0)))</x:f>
      </x:c>
      <x:c r="I87" s="705" t="str">
        <x:f>IF($A87="","",IFERROR(INDEX(DESCONTOS!$C$66:$BD$125,MATCH($A87,DESCONTOS!$B$66:$B$125,0),MATCH(EDATE($A$2,-12),DESCONTOS!$C$65:$BD$65,0)),IFERROR(INDEX(DESCONTOS!$C$183:$BD$222,MATCH($A87,DESCONTOS!$B$183:$B$222,0),MATCH(EDATE($A$2,-12),DESCONTOS!$C$182:$BD$182,0)),0)))</x:f>
      </x:c>
      <x:c r="J87" s="411" t="str">
        <x:f>IF($A87="","",IFERROR(INDEX(DESCONTOS!$C$3:$BD$62,MATCH($A87,DESCONTOS!$B$3:$B$62,0),MATCH(EDATE($A$2,-12),DESCONTOS!$C$2:$BD$2,0)),IFERROR(INDEX(DESCONTOS!$C$141:$BD$180,MATCH($A87,DESCONTOS!$B$141:$B$180,0),MATCH(EDATE($A$2,-12),DESCONTOS!$C$140:$BD$140,0)),0)))</x:f>
      </x:c>
      <x:c r="K87" s="705" t="str">
        <x:f>IF($A87="","",IFERROR(INDEX('CADASTRO DE LOJAS'!$I$3:$I$41,MATCH($A$2,'CADASTRO DE LOJAS'!$H$3:$H$41,0)),6000))</x:f>
      </x:c>
      <x:c r="L87" s="707" t="str">
        <x:f>IF($A87="","",IF(D87&gt;K87,"SIM","NÃO"))</x:f>
      </x:c>
    </x:row>
    <x:row r="88" ht="20" hidden="1" customHeight="1">
      <x:c r="A88" t="str">
        <x:f>IF('CADASTRO DE LOJAS'!E89="SIM",'CADASTRO DE LOJAS'!B89,"")</x:f>
      </x:c>
      <x:c r="B88" s="703" t="str">
        <x:f>IF($A88="","",'CADASTRO DE LOJAS'!F89)</x:f>
      </x:c>
      <x:c r="C88" s="714" t="str">
        <x:f>IF($A88="","",'CADASTRO DE LOJAS'!D89)</x:f>
      </x:c>
      <x:c r="D88" s="705" t="str">
        <x:f>IF($A88="","",IFERROR(INDEX(ETIQUETAS!$C$3:$AO$102,MATCH($A88,ETIQUETAS!$B$3:$B$102,0),MATCH($A$2,ETIQUETAS!$C$2:$AO$2,0)),0))</x:f>
      </x:c>
      <x:c r="E88" s="723" t="str">
        <x:f>IF($A88="","",IFERROR(INDEX('DIVERGÊNCIAS'!$C$3:$AO$102,MATCH($A88,'DIVERGÊNCIAS'!$B$3:$B$102,0),MATCH($A$2,'DIVERGÊNCIAS'!$C$2:$AO$2,0)),0))</x:f>
      </x:c>
      <x:c r="F88" s="723" t="str">
        <x:f>IF($A88="","",IFERROR(INDEX('SEM PREÇO'!$C$3:$AO$102,MATCH($A88,'SEM PREÇO'!$B$3:$B$102,0),MATCH($A$2,'SEM PREÇO'!$C$2:$AO$2,0)),0))</x:f>
      </x:c>
      <x:c r="G88" s="705" t="str">
        <x:f>IF($A88="","",IFERROR(INDEX(DESCONTOS!$C$66:$BD$125,MATCH($A88,DESCONTOS!$B$66:$B$125,0),MATCH($A$2,DESCONTOS!$C$65:$BD$65,0)),IFERROR(INDEX(DESCONTOS!$C$183:$BD$222,MATCH($A88,DESCONTOS!$B$183:$B$222,0),MATCH($A$2,DESCONTOS!$C$182:$BD$182,0)),0)))</x:f>
      </x:c>
      <x:c r="H88" s="411" t="str">
        <x:f>IF($A88="","",IFERROR(INDEX(DESCONTOS!$C$3:$BD$62,MATCH($A88,DESCONTOS!$B$3:$B$62,0),MATCH($A$2,DESCONTOS!$C$2:$BD$2,0)),IFERROR(INDEX(DESCONTOS!$C$141:$BD$180,MATCH($A88,DESCONTOS!$B$141:$B$180,0),MATCH($A$2,DESCONTOS!$C$140:$BD$140,0)),0)))</x:f>
      </x:c>
      <x:c r="I88" s="705" t="str">
        <x:f>IF($A88="","",IFERROR(INDEX(DESCONTOS!$C$66:$BD$125,MATCH($A88,DESCONTOS!$B$66:$B$125,0),MATCH(EDATE($A$2,-12),DESCONTOS!$C$65:$BD$65,0)),IFERROR(INDEX(DESCONTOS!$C$183:$BD$222,MATCH($A88,DESCONTOS!$B$183:$B$222,0),MATCH(EDATE($A$2,-12),DESCONTOS!$C$182:$BD$182,0)),0)))</x:f>
      </x:c>
      <x:c r="J88" s="411" t="str">
        <x:f>IF($A88="","",IFERROR(INDEX(DESCONTOS!$C$3:$BD$62,MATCH($A88,DESCONTOS!$B$3:$B$62,0),MATCH(EDATE($A$2,-12),DESCONTOS!$C$2:$BD$2,0)),IFERROR(INDEX(DESCONTOS!$C$141:$BD$180,MATCH($A88,DESCONTOS!$B$141:$B$180,0),MATCH(EDATE($A$2,-12),DESCONTOS!$C$140:$BD$140,0)),0)))</x:f>
      </x:c>
      <x:c r="K88" s="705" t="str">
        <x:f>IF($A88="","",IFERROR(INDEX('CADASTRO DE LOJAS'!$I$3:$I$41,MATCH($A$2,'CADASTRO DE LOJAS'!$H$3:$H$41,0)),6000))</x:f>
      </x:c>
      <x:c r="L88" s="707" t="str">
        <x:f>IF($A88="","",IF(D88&gt;K88,"SIM","NÃO"))</x:f>
      </x:c>
    </x:row>
    <x:row r="89" ht="20" hidden="1" customHeight="1">
      <x:c r="A89" t="str">
        <x:f>IF('CADASTRO DE LOJAS'!E90="SIM",'CADASTRO DE LOJAS'!B90,"")</x:f>
      </x:c>
      <x:c r="B89" s="703" t="str">
        <x:f>IF($A89="","",'CADASTRO DE LOJAS'!F90)</x:f>
      </x:c>
      <x:c r="C89" s="714" t="str">
        <x:f>IF($A89="","",'CADASTRO DE LOJAS'!D90)</x:f>
      </x:c>
      <x:c r="D89" s="705" t="str">
        <x:f>IF($A89="","",IFERROR(INDEX(ETIQUETAS!$C$3:$AO$102,MATCH($A89,ETIQUETAS!$B$3:$B$102,0),MATCH($A$2,ETIQUETAS!$C$2:$AO$2,0)),0))</x:f>
      </x:c>
      <x:c r="E89" s="723" t="str">
        <x:f>IF($A89="","",IFERROR(INDEX('DIVERGÊNCIAS'!$C$3:$AO$102,MATCH($A89,'DIVERGÊNCIAS'!$B$3:$B$102,0),MATCH($A$2,'DIVERGÊNCIAS'!$C$2:$AO$2,0)),0))</x:f>
      </x:c>
      <x:c r="F89" s="723" t="str">
        <x:f>IF($A89="","",IFERROR(INDEX('SEM PREÇO'!$C$3:$AO$102,MATCH($A89,'SEM PREÇO'!$B$3:$B$102,0),MATCH($A$2,'SEM PREÇO'!$C$2:$AO$2,0)),0))</x:f>
      </x:c>
      <x:c r="G89" s="705" t="str">
        <x:f>IF($A89="","",IFERROR(INDEX(DESCONTOS!$C$66:$BD$125,MATCH($A89,DESCONTOS!$B$66:$B$125,0),MATCH($A$2,DESCONTOS!$C$65:$BD$65,0)),IFERROR(INDEX(DESCONTOS!$C$183:$BD$222,MATCH($A89,DESCONTOS!$B$183:$B$222,0),MATCH($A$2,DESCONTOS!$C$182:$BD$182,0)),0)))</x:f>
      </x:c>
      <x:c r="H89" s="411" t="str">
        <x:f>IF($A89="","",IFERROR(INDEX(DESCONTOS!$C$3:$BD$62,MATCH($A89,DESCONTOS!$B$3:$B$62,0),MATCH($A$2,DESCONTOS!$C$2:$BD$2,0)),IFERROR(INDEX(DESCONTOS!$C$141:$BD$180,MATCH($A89,DESCONTOS!$B$141:$B$180,0),MATCH($A$2,DESCONTOS!$C$140:$BD$140,0)),0)))</x:f>
      </x:c>
      <x:c r="I89" s="705" t="str">
        <x:f>IF($A89="","",IFERROR(INDEX(DESCONTOS!$C$66:$BD$125,MATCH($A89,DESCONTOS!$B$66:$B$125,0),MATCH(EDATE($A$2,-12),DESCONTOS!$C$65:$BD$65,0)),IFERROR(INDEX(DESCONTOS!$C$183:$BD$222,MATCH($A89,DESCONTOS!$B$183:$B$222,0),MATCH(EDATE($A$2,-12),DESCONTOS!$C$182:$BD$182,0)),0)))</x:f>
      </x:c>
      <x:c r="J89" s="411" t="str">
        <x:f>IF($A89="","",IFERROR(INDEX(DESCONTOS!$C$3:$BD$62,MATCH($A89,DESCONTOS!$B$3:$B$62,0),MATCH(EDATE($A$2,-12),DESCONTOS!$C$2:$BD$2,0)),IFERROR(INDEX(DESCONTOS!$C$141:$BD$180,MATCH($A89,DESCONTOS!$B$141:$B$180,0),MATCH(EDATE($A$2,-12),DESCONTOS!$C$140:$BD$140,0)),0)))</x:f>
      </x:c>
      <x:c r="K89" s="705" t="str">
        <x:f>IF($A89="","",IFERROR(INDEX('CADASTRO DE LOJAS'!$I$3:$I$41,MATCH($A$2,'CADASTRO DE LOJAS'!$H$3:$H$41,0)),6000))</x:f>
      </x:c>
      <x:c r="L89" s="707" t="str">
        <x:f>IF($A89="","",IF(D89&gt;K89,"SIM","NÃO"))</x:f>
      </x:c>
    </x:row>
    <x:row r="90" ht="20" hidden="1" customHeight="1">
      <x:c r="A90" t="str">
        <x:f>IF('CADASTRO DE LOJAS'!E91="SIM",'CADASTRO DE LOJAS'!B91,"")</x:f>
      </x:c>
      <x:c r="B90" s="703" t="str">
        <x:f>IF($A90="","",'CADASTRO DE LOJAS'!F91)</x:f>
      </x:c>
      <x:c r="C90" s="714" t="str">
        <x:f>IF($A90="","",'CADASTRO DE LOJAS'!D91)</x:f>
      </x:c>
      <x:c r="D90" s="705" t="str">
        <x:f>IF($A90="","",IFERROR(INDEX(ETIQUETAS!$C$3:$AO$102,MATCH($A90,ETIQUETAS!$B$3:$B$102,0),MATCH($A$2,ETIQUETAS!$C$2:$AO$2,0)),0))</x:f>
      </x:c>
      <x:c r="E90" s="723" t="str">
        <x:f>IF($A90="","",IFERROR(INDEX('DIVERGÊNCIAS'!$C$3:$AO$102,MATCH($A90,'DIVERGÊNCIAS'!$B$3:$B$102,0),MATCH($A$2,'DIVERGÊNCIAS'!$C$2:$AO$2,0)),0))</x:f>
      </x:c>
      <x:c r="F90" s="723" t="str">
        <x:f>IF($A90="","",IFERROR(INDEX('SEM PREÇO'!$C$3:$AO$102,MATCH($A90,'SEM PREÇO'!$B$3:$B$102,0),MATCH($A$2,'SEM PREÇO'!$C$2:$AO$2,0)),0))</x:f>
      </x:c>
      <x:c r="G90" s="705" t="str">
        <x:f>IF($A90="","",IFERROR(INDEX(DESCONTOS!$C$66:$BD$125,MATCH($A90,DESCONTOS!$B$66:$B$125,0),MATCH($A$2,DESCONTOS!$C$65:$BD$65,0)),IFERROR(INDEX(DESCONTOS!$C$183:$BD$222,MATCH($A90,DESCONTOS!$B$183:$B$222,0),MATCH($A$2,DESCONTOS!$C$182:$BD$182,0)),0)))</x:f>
      </x:c>
      <x:c r="H90" s="411" t="str">
        <x:f>IF($A90="","",IFERROR(INDEX(DESCONTOS!$C$3:$BD$62,MATCH($A90,DESCONTOS!$B$3:$B$62,0),MATCH($A$2,DESCONTOS!$C$2:$BD$2,0)),IFERROR(INDEX(DESCONTOS!$C$141:$BD$180,MATCH($A90,DESCONTOS!$B$141:$B$180,0),MATCH($A$2,DESCONTOS!$C$140:$BD$140,0)),0)))</x:f>
      </x:c>
      <x:c r="I90" s="705" t="str">
        <x:f>IF($A90="","",IFERROR(INDEX(DESCONTOS!$C$66:$BD$125,MATCH($A90,DESCONTOS!$B$66:$B$125,0),MATCH(EDATE($A$2,-12),DESCONTOS!$C$65:$BD$65,0)),IFERROR(INDEX(DESCONTOS!$C$183:$BD$222,MATCH($A90,DESCONTOS!$B$183:$B$222,0),MATCH(EDATE($A$2,-12),DESCONTOS!$C$182:$BD$182,0)),0)))</x:f>
      </x:c>
      <x:c r="J90" s="411" t="str">
        <x:f>IF($A90="","",IFERROR(INDEX(DESCONTOS!$C$3:$BD$62,MATCH($A90,DESCONTOS!$B$3:$B$62,0),MATCH(EDATE($A$2,-12),DESCONTOS!$C$2:$BD$2,0)),IFERROR(INDEX(DESCONTOS!$C$141:$BD$180,MATCH($A90,DESCONTOS!$B$141:$B$180,0),MATCH(EDATE($A$2,-12),DESCONTOS!$C$140:$BD$140,0)),0)))</x:f>
      </x:c>
      <x:c r="K90" s="705" t="str">
        <x:f>IF($A90="","",IFERROR(INDEX('CADASTRO DE LOJAS'!$I$3:$I$41,MATCH($A$2,'CADASTRO DE LOJAS'!$H$3:$H$41,0)),6000))</x:f>
      </x:c>
      <x:c r="L90" s="707" t="str">
        <x:f>IF($A90="","",IF(D90&gt;K90,"SIM","NÃO"))</x:f>
      </x:c>
    </x:row>
    <x:row r="91" ht="20" hidden="1" customHeight="1">
      <x:c r="A91" t="str">
        <x:f>IF('CADASTRO DE LOJAS'!E92="SIM",'CADASTRO DE LOJAS'!B92,"")</x:f>
      </x:c>
      <x:c r="B91" s="703" t="str">
        <x:f>IF($A91="","",'CADASTRO DE LOJAS'!F92)</x:f>
      </x:c>
      <x:c r="C91" s="714" t="str">
        <x:f>IF($A91="","",'CADASTRO DE LOJAS'!D92)</x:f>
      </x:c>
      <x:c r="D91" s="705" t="str">
        <x:f>IF($A91="","",IFERROR(INDEX(ETIQUETAS!$C$3:$AO$102,MATCH($A91,ETIQUETAS!$B$3:$B$102,0),MATCH($A$2,ETIQUETAS!$C$2:$AO$2,0)),0))</x:f>
      </x:c>
      <x:c r="E91" s="723" t="str">
        <x:f>IF($A91="","",IFERROR(INDEX('DIVERGÊNCIAS'!$C$3:$AO$102,MATCH($A91,'DIVERGÊNCIAS'!$B$3:$B$102,0),MATCH($A$2,'DIVERGÊNCIAS'!$C$2:$AO$2,0)),0))</x:f>
      </x:c>
      <x:c r="F91" s="723" t="str">
        <x:f>IF($A91="","",IFERROR(INDEX('SEM PREÇO'!$C$3:$AO$102,MATCH($A91,'SEM PREÇO'!$B$3:$B$102,0),MATCH($A$2,'SEM PREÇO'!$C$2:$AO$2,0)),0))</x:f>
      </x:c>
      <x:c r="G91" s="705" t="str">
        <x:f>IF($A91="","",IFERROR(INDEX(DESCONTOS!$C$66:$BD$125,MATCH($A91,DESCONTOS!$B$66:$B$125,0),MATCH($A$2,DESCONTOS!$C$65:$BD$65,0)),IFERROR(INDEX(DESCONTOS!$C$183:$BD$222,MATCH($A91,DESCONTOS!$B$183:$B$222,0),MATCH($A$2,DESCONTOS!$C$182:$BD$182,0)),0)))</x:f>
      </x:c>
      <x:c r="H91" s="411" t="str">
        <x:f>IF($A91="","",IFERROR(INDEX(DESCONTOS!$C$3:$BD$62,MATCH($A91,DESCONTOS!$B$3:$B$62,0),MATCH($A$2,DESCONTOS!$C$2:$BD$2,0)),IFERROR(INDEX(DESCONTOS!$C$141:$BD$180,MATCH($A91,DESCONTOS!$B$141:$B$180,0),MATCH($A$2,DESCONTOS!$C$140:$BD$140,0)),0)))</x:f>
      </x:c>
      <x:c r="I91" s="705" t="str">
        <x:f>IF($A91="","",IFERROR(INDEX(DESCONTOS!$C$66:$BD$125,MATCH($A91,DESCONTOS!$B$66:$B$125,0),MATCH(EDATE($A$2,-12),DESCONTOS!$C$65:$BD$65,0)),IFERROR(INDEX(DESCONTOS!$C$183:$BD$222,MATCH($A91,DESCONTOS!$B$183:$B$222,0),MATCH(EDATE($A$2,-12),DESCONTOS!$C$182:$BD$182,0)),0)))</x:f>
      </x:c>
      <x:c r="J91" s="411" t="str">
        <x:f>IF($A91="","",IFERROR(INDEX(DESCONTOS!$C$3:$BD$62,MATCH($A91,DESCONTOS!$B$3:$B$62,0),MATCH(EDATE($A$2,-12),DESCONTOS!$C$2:$BD$2,0)),IFERROR(INDEX(DESCONTOS!$C$141:$BD$180,MATCH($A91,DESCONTOS!$B$141:$B$180,0),MATCH(EDATE($A$2,-12),DESCONTOS!$C$140:$BD$140,0)),0)))</x:f>
      </x:c>
      <x:c r="K91" s="705" t="str">
        <x:f>IF($A91="","",IFERROR(INDEX('CADASTRO DE LOJAS'!$I$3:$I$41,MATCH($A$2,'CADASTRO DE LOJAS'!$H$3:$H$41,0)),6000))</x:f>
      </x:c>
      <x:c r="L91" s="707" t="str">
        <x:f>IF($A91="","",IF(D91&gt;K91,"SIM","NÃO"))</x:f>
      </x:c>
    </x:row>
    <x:row r="92" ht="20" hidden="1" customHeight="1">
      <x:c r="A92" t="str">
        <x:f>IF('CADASTRO DE LOJAS'!E93="SIM",'CADASTRO DE LOJAS'!B93,"")</x:f>
      </x:c>
      <x:c r="B92" s="703" t="str">
        <x:f>IF($A92="","",'CADASTRO DE LOJAS'!F93)</x:f>
      </x:c>
      <x:c r="C92" s="714" t="str">
        <x:f>IF($A92="","",'CADASTRO DE LOJAS'!D93)</x:f>
      </x:c>
      <x:c r="D92" s="705" t="str">
        <x:f>IF($A92="","",IFERROR(INDEX(ETIQUETAS!$C$3:$AO$102,MATCH($A92,ETIQUETAS!$B$3:$B$102,0),MATCH($A$2,ETIQUETAS!$C$2:$AO$2,0)),0))</x:f>
      </x:c>
      <x:c r="E92" s="723" t="str">
        <x:f>IF($A92="","",IFERROR(INDEX('DIVERGÊNCIAS'!$C$3:$AO$102,MATCH($A92,'DIVERGÊNCIAS'!$B$3:$B$102,0),MATCH($A$2,'DIVERGÊNCIAS'!$C$2:$AO$2,0)),0))</x:f>
      </x:c>
      <x:c r="F92" s="723" t="str">
        <x:f>IF($A92="","",IFERROR(INDEX('SEM PREÇO'!$C$3:$AO$102,MATCH($A92,'SEM PREÇO'!$B$3:$B$102,0),MATCH($A$2,'SEM PREÇO'!$C$2:$AO$2,0)),0))</x:f>
      </x:c>
      <x:c r="G92" s="705" t="str">
        <x:f>IF($A92="","",IFERROR(INDEX(DESCONTOS!$C$66:$BD$125,MATCH($A92,DESCONTOS!$B$66:$B$125,0),MATCH($A$2,DESCONTOS!$C$65:$BD$65,0)),IFERROR(INDEX(DESCONTOS!$C$183:$BD$222,MATCH($A92,DESCONTOS!$B$183:$B$222,0),MATCH($A$2,DESCONTOS!$C$182:$BD$182,0)),0)))</x:f>
      </x:c>
      <x:c r="H92" s="411" t="str">
        <x:f>IF($A92="","",IFERROR(INDEX(DESCONTOS!$C$3:$BD$62,MATCH($A92,DESCONTOS!$B$3:$B$62,0),MATCH($A$2,DESCONTOS!$C$2:$BD$2,0)),IFERROR(INDEX(DESCONTOS!$C$141:$BD$180,MATCH($A92,DESCONTOS!$B$141:$B$180,0),MATCH($A$2,DESCONTOS!$C$140:$BD$140,0)),0)))</x:f>
      </x:c>
      <x:c r="I92" s="705" t="str">
        <x:f>IF($A92="","",IFERROR(INDEX(DESCONTOS!$C$66:$BD$125,MATCH($A92,DESCONTOS!$B$66:$B$125,0),MATCH(EDATE($A$2,-12),DESCONTOS!$C$65:$BD$65,0)),IFERROR(INDEX(DESCONTOS!$C$183:$BD$222,MATCH($A92,DESCONTOS!$B$183:$B$222,0),MATCH(EDATE($A$2,-12),DESCONTOS!$C$182:$BD$182,0)),0)))</x:f>
      </x:c>
      <x:c r="J92" s="411" t="str">
        <x:f>IF($A92="","",IFERROR(INDEX(DESCONTOS!$C$3:$BD$62,MATCH($A92,DESCONTOS!$B$3:$B$62,0),MATCH(EDATE($A$2,-12),DESCONTOS!$C$2:$BD$2,0)),IFERROR(INDEX(DESCONTOS!$C$141:$BD$180,MATCH($A92,DESCONTOS!$B$141:$B$180,0),MATCH(EDATE($A$2,-12),DESCONTOS!$C$140:$BD$140,0)),0)))</x:f>
      </x:c>
      <x:c r="K92" s="705" t="str">
        <x:f>IF($A92="","",IFERROR(INDEX('CADASTRO DE LOJAS'!$I$3:$I$41,MATCH($A$2,'CADASTRO DE LOJAS'!$H$3:$H$41,0)),6000))</x:f>
      </x:c>
      <x:c r="L92" s="707" t="str">
        <x:f>IF($A92="","",IF(D92&gt;K92,"SIM","NÃO"))</x:f>
      </x:c>
    </x:row>
    <x:row r="93" ht="20" hidden="1" customHeight="1">
      <x:c r="A93" t="str">
        <x:f>IF('CADASTRO DE LOJAS'!E94="SIM",'CADASTRO DE LOJAS'!B94,"")</x:f>
      </x:c>
      <x:c r="B93" s="703" t="str">
        <x:f>IF($A93="","",'CADASTRO DE LOJAS'!F94)</x:f>
      </x:c>
      <x:c r="C93" s="714" t="str">
        <x:f>IF($A93="","",'CADASTRO DE LOJAS'!D94)</x:f>
      </x:c>
      <x:c r="D93" s="705" t="str">
        <x:f>IF($A93="","",IFERROR(INDEX(ETIQUETAS!$C$3:$AO$102,MATCH($A93,ETIQUETAS!$B$3:$B$102,0),MATCH($A$2,ETIQUETAS!$C$2:$AO$2,0)),0))</x:f>
      </x:c>
      <x:c r="E93" s="723" t="str">
        <x:f>IF($A93="","",IFERROR(INDEX('DIVERGÊNCIAS'!$C$3:$AO$102,MATCH($A93,'DIVERGÊNCIAS'!$B$3:$B$102,0),MATCH($A$2,'DIVERGÊNCIAS'!$C$2:$AO$2,0)),0))</x:f>
      </x:c>
      <x:c r="F93" s="723" t="str">
        <x:f>IF($A93="","",IFERROR(INDEX('SEM PREÇO'!$C$3:$AO$102,MATCH($A93,'SEM PREÇO'!$B$3:$B$102,0),MATCH($A$2,'SEM PREÇO'!$C$2:$AO$2,0)),0))</x:f>
      </x:c>
      <x:c r="G93" s="705" t="str">
        <x:f>IF($A93="","",IFERROR(INDEX(DESCONTOS!$C$66:$BD$125,MATCH($A93,DESCONTOS!$B$66:$B$125,0),MATCH($A$2,DESCONTOS!$C$65:$BD$65,0)),IFERROR(INDEX(DESCONTOS!$C$183:$BD$222,MATCH($A93,DESCONTOS!$B$183:$B$222,0),MATCH($A$2,DESCONTOS!$C$182:$BD$182,0)),0)))</x:f>
      </x:c>
      <x:c r="H93" s="411" t="str">
        <x:f>IF($A93="","",IFERROR(INDEX(DESCONTOS!$C$3:$BD$62,MATCH($A93,DESCONTOS!$B$3:$B$62,0),MATCH($A$2,DESCONTOS!$C$2:$BD$2,0)),IFERROR(INDEX(DESCONTOS!$C$141:$BD$180,MATCH($A93,DESCONTOS!$B$141:$B$180,0),MATCH($A$2,DESCONTOS!$C$140:$BD$140,0)),0)))</x:f>
      </x:c>
      <x:c r="I93" s="705" t="str">
        <x:f>IF($A93="","",IFERROR(INDEX(DESCONTOS!$C$66:$BD$125,MATCH($A93,DESCONTOS!$B$66:$B$125,0),MATCH(EDATE($A$2,-12),DESCONTOS!$C$65:$BD$65,0)),IFERROR(INDEX(DESCONTOS!$C$183:$BD$222,MATCH($A93,DESCONTOS!$B$183:$B$222,0),MATCH(EDATE($A$2,-12),DESCONTOS!$C$182:$BD$182,0)),0)))</x:f>
      </x:c>
      <x:c r="J93" s="411" t="str">
        <x:f>IF($A93="","",IFERROR(INDEX(DESCONTOS!$C$3:$BD$62,MATCH($A93,DESCONTOS!$B$3:$B$62,0),MATCH(EDATE($A$2,-12),DESCONTOS!$C$2:$BD$2,0)),IFERROR(INDEX(DESCONTOS!$C$141:$BD$180,MATCH($A93,DESCONTOS!$B$141:$B$180,0),MATCH(EDATE($A$2,-12),DESCONTOS!$C$140:$BD$140,0)),0)))</x:f>
      </x:c>
      <x:c r="K93" s="705" t="str">
        <x:f>IF($A93="","",IFERROR(INDEX('CADASTRO DE LOJAS'!$I$3:$I$41,MATCH($A$2,'CADASTRO DE LOJAS'!$H$3:$H$41,0)),6000))</x:f>
      </x:c>
      <x:c r="L93" s="707" t="str">
        <x:f>IF($A93="","",IF(D93&gt;K93,"SIM","NÃO"))</x:f>
      </x:c>
    </x:row>
    <x:row r="94" ht="20" hidden="1" customHeight="1">
      <x:c r="A94" t="str">
        <x:f>IF('CADASTRO DE LOJAS'!E95="SIM",'CADASTRO DE LOJAS'!B95,"")</x:f>
      </x:c>
      <x:c r="B94" s="703" t="str">
        <x:f>IF($A94="","",'CADASTRO DE LOJAS'!F95)</x:f>
      </x:c>
      <x:c r="C94" s="714" t="str">
        <x:f>IF($A94="","",'CADASTRO DE LOJAS'!D95)</x:f>
      </x:c>
      <x:c r="D94" s="705" t="str">
        <x:f>IF($A94="","",IFERROR(INDEX(ETIQUETAS!$C$3:$AO$102,MATCH($A94,ETIQUETAS!$B$3:$B$102,0),MATCH($A$2,ETIQUETAS!$C$2:$AO$2,0)),0))</x:f>
      </x:c>
      <x:c r="E94" s="723" t="str">
        <x:f>IF($A94="","",IFERROR(INDEX('DIVERGÊNCIAS'!$C$3:$AO$102,MATCH($A94,'DIVERGÊNCIAS'!$B$3:$B$102,0),MATCH($A$2,'DIVERGÊNCIAS'!$C$2:$AO$2,0)),0))</x:f>
      </x:c>
      <x:c r="F94" s="723" t="str">
        <x:f>IF($A94="","",IFERROR(INDEX('SEM PREÇO'!$C$3:$AO$102,MATCH($A94,'SEM PREÇO'!$B$3:$B$102,0),MATCH($A$2,'SEM PREÇO'!$C$2:$AO$2,0)),0))</x:f>
      </x:c>
      <x:c r="G94" s="705" t="str">
        <x:f>IF($A94="","",IFERROR(INDEX(DESCONTOS!$C$66:$BD$125,MATCH($A94,DESCONTOS!$B$66:$B$125,0),MATCH($A$2,DESCONTOS!$C$65:$BD$65,0)),IFERROR(INDEX(DESCONTOS!$C$183:$BD$222,MATCH($A94,DESCONTOS!$B$183:$B$222,0),MATCH($A$2,DESCONTOS!$C$182:$BD$182,0)),0)))</x:f>
      </x:c>
      <x:c r="H94" s="411" t="str">
        <x:f>IF($A94="","",IFERROR(INDEX(DESCONTOS!$C$3:$BD$62,MATCH($A94,DESCONTOS!$B$3:$B$62,0),MATCH($A$2,DESCONTOS!$C$2:$BD$2,0)),IFERROR(INDEX(DESCONTOS!$C$141:$BD$180,MATCH($A94,DESCONTOS!$B$141:$B$180,0),MATCH($A$2,DESCONTOS!$C$140:$BD$140,0)),0)))</x:f>
      </x:c>
      <x:c r="I94" s="705" t="str">
        <x:f>IF($A94="","",IFERROR(INDEX(DESCONTOS!$C$66:$BD$125,MATCH($A94,DESCONTOS!$B$66:$B$125,0),MATCH(EDATE($A$2,-12),DESCONTOS!$C$65:$BD$65,0)),IFERROR(INDEX(DESCONTOS!$C$183:$BD$222,MATCH($A94,DESCONTOS!$B$183:$B$222,0),MATCH(EDATE($A$2,-12),DESCONTOS!$C$182:$BD$182,0)),0)))</x:f>
      </x:c>
      <x:c r="J94" s="411" t="str">
        <x:f>IF($A94="","",IFERROR(INDEX(DESCONTOS!$C$3:$BD$62,MATCH($A94,DESCONTOS!$B$3:$B$62,0),MATCH(EDATE($A$2,-12),DESCONTOS!$C$2:$BD$2,0)),IFERROR(INDEX(DESCONTOS!$C$141:$BD$180,MATCH($A94,DESCONTOS!$B$141:$B$180,0),MATCH(EDATE($A$2,-12),DESCONTOS!$C$140:$BD$140,0)),0)))</x:f>
      </x:c>
      <x:c r="K94" s="705" t="str">
        <x:f>IF($A94="","",IFERROR(INDEX('CADASTRO DE LOJAS'!$I$3:$I$41,MATCH($A$2,'CADASTRO DE LOJAS'!$H$3:$H$41,0)),6000))</x:f>
      </x:c>
      <x:c r="L94" s="707" t="str">
        <x:f>IF($A94="","",IF(D94&gt;K94,"SIM","NÃO"))</x:f>
      </x:c>
    </x:row>
    <x:row r="95" ht="20" hidden="1" customHeight="1">
      <x:c r="A95" t="str">
        <x:f>IF('CADASTRO DE LOJAS'!E96="SIM",'CADASTRO DE LOJAS'!B96,"")</x:f>
      </x:c>
      <x:c r="B95" s="703" t="str">
        <x:f>IF($A95="","",'CADASTRO DE LOJAS'!F96)</x:f>
      </x:c>
      <x:c r="C95" s="714" t="str">
        <x:f>IF($A95="","",'CADASTRO DE LOJAS'!D96)</x:f>
      </x:c>
      <x:c r="D95" s="705" t="str">
        <x:f>IF($A95="","",IFERROR(INDEX(ETIQUETAS!$C$3:$AO$102,MATCH($A95,ETIQUETAS!$B$3:$B$102,0),MATCH($A$2,ETIQUETAS!$C$2:$AO$2,0)),0))</x:f>
      </x:c>
      <x:c r="E95" s="723" t="str">
        <x:f>IF($A95="","",IFERROR(INDEX('DIVERGÊNCIAS'!$C$3:$AO$102,MATCH($A95,'DIVERGÊNCIAS'!$B$3:$B$102,0),MATCH($A$2,'DIVERGÊNCIAS'!$C$2:$AO$2,0)),0))</x:f>
      </x:c>
      <x:c r="F95" s="723" t="str">
        <x:f>IF($A95="","",IFERROR(INDEX('SEM PREÇO'!$C$3:$AO$102,MATCH($A95,'SEM PREÇO'!$B$3:$B$102,0),MATCH($A$2,'SEM PREÇO'!$C$2:$AO$2,0)),0))</x:f>
      </x:c>
      <x:c r="G95" s="705" t="str">
        <x:f>IF($A95="","",IFERROR(INDEX(DESCONTOS!$C$66:$BD$125,MATCH($A95,DESCONTOS!$B$66:$B$125,0),MATCH($A$2,DESCONTOS!$C$65:$BD$65,0)),IFERROR(INDEX(DESCONTOS!$C$183:$BD$222,MATCH($A95,DESCONTOS!$B$183:$B$222,0),MATCH($A$2,DESCONTOS!$C$182:$BD$182,0)),0)))</x:f>
      </x:c>
      <x:c r="H95" s="411" t="str">
        <x:f>IF($A95="","",IFERROR(INDEX(DESCONTOS!$C$3:$BD$62,MATCH($A95,DESCONTOS!$B$3:$B$62,0),MATCH($A$2,DESCONTOS!$C$2:$BD$2,0)),IFERROR(INDEX(DESCONTOS!$C$141:$BD$180,MATCH($A95,DESCONTOS!$B$141:$B$180,0),MATCH($A$2,DESCONTOS!$C$140:$BD$140,0)),0)))</x:f>
      </x:c>
      <x:c r="I95" s="705" t="str">
        <x:f>IF($A95="","",IFERROR(INDEX(DESCONTOS!$C$66:$BD$125,MATCH($A95,DESCONTOS!$B$66:$B$125,0),MATCH(EDATE($A$2,-12),DESCONTOS!$C$65:$BD$65,0)),IFERROR(INDEX(DESCONTOS!$C$183:$BD$222,MATCH($A95,DESCONTOS!$B$183:$B$222,0),MATCH(EDATE($A$2,-12),DESCONTOS!$C$182:$BD$182,0)),0)))</x:f>
      </x:c>
      <x:c r="J95" s="411" t="str">
        <x:f>IF($A95="","",IFERROR(INDEX(DESCONTOS!$C$3:$BD$62,MATCH($A95,DESCONTOS!$B$3:$B$62,0),MATCH(EDATE($A$2,-12),DESCONTOS!$C$2:$BD$2,0)),IFERROR(INDEX(DESCONTOS!$C$141:$BD$180,MATCH($A95,DESCONTOS!$B$141:$B$180,0),MATCH(EDATE($A$2,-12),DESCONTOS!$C$140:$BD$140,0)),0)))</x:f>
      </x:c>
      <x:c r="K95" s="705" t="str">
        <x:f>IF($A95="","",IFERROR(INDEX('CADASTRO DE LOJAS'!$I$3:$I$41,MATCH($A$2,'CADASTRO DE LOJAS'!$H$3:$H$41,0)),6000))</x:f>
      </x:c>
      <x:c r="L95" s="707" t="str">
        <x:f>IF($A95="","",IF(D95&gt;K95,"SIM","NÃO"))</x:f>
      </x:c>
    </x:row>
    <x:row r="96" ht="20" hidden="1" customHeight="1">
      <x:c r="A96" t="str">
        <x:f>IF('CADASTRO DE LOJAS'!E97="SIM",'CADASTRO DE LOJAS'!B97,"")</x:f>
      </x:c>
      <x:c r="B96" s="703" t="str">
        <x:f>IF($A96="","",'CADASTRO DE LOJAS'!F97)</x:f>
      </x:c>
      <x:c r="C96" s="714" t="str">
        <x:f>IF($A96="","",'CADASTRO DE LOJAS'!D97)</x:f>
      </x:c>
      <x:c r="D96" s="705" t="str">
        <x:f>IF($A96="","",IFERROR(INDEX(ETIQUETAS!$C$3:$AO$102,MATCH($A96,ETIQUETAS!$B$3:$B$102,0),MATCH($A$2,ETIQUETAS!$C$2:$AO$2,0)),0))</x:f>
      </x:c>
      <x:c r="E96" s="723" t="str">
        <x:f>IF($A96="","",IFERROR(INDEX('DIVERGÊNCIAS'!$C$3:$AO$102,MATCH($A96,'DIVERGÊNCIAS'!$B$3:$B$102,0),MATCH($A$2,'DIVERGÊNCIAS'!$C$2:$AO$2,0)),0))</x:f>
      </x:c>
      <x:c r="F96" s="723" t="str">
        <x:f>IF($A96="","",IFERROR(INDEX('SEM PREÇO'!$C$3:$AO$102,MATCH($A96,'SEM PREÇO'!$B$3:$B$102,0),MATCH($A$2,'SEM PREÇO'!$C$2:$AO$2,0)),0))</x:f>
      </x:c>
      <x:c r="G96" s="705" t="str">
        <x:f>IF($A96="","",IFERROR(INDEX(DESCONTOS!$C$66:$BD$125,MATCH($A96,DESCONTOS!$B$66:$B$125,0),MATCH($A$2,DESCONTOS!$C$65:$BD$65,0)),IFERROR(INDEX(DESCONTOS!$C$183:$BD$222,MATCH($A96,DESCONTOS!$B$183:$B$222,0),MATCH($A$2,DESCONTOS!$C$182:$BD$182,0)),0)))</x:f>
      </x:c>
      <x:c r="H96" s="411" t="str">
        <x:f>IF($A96="","",IFERROR(INDEX(DESCONTOS!$C$3:$BD$62,MATCH($A96,DESCONTOS!$B$3:$B$62,0),MATCH($A$2,DESCONTOS!$C$2:$BD$2,0)),IFERROR(INDEX(DESCONTOS!$C$141:$BD$180,MATCH($A96,DESCONTOS!$B$141:$B$180,0),MATCH($A$2,DESCONTOS!$C$140:$BD$140,0)),0)))</x:f>
      </x:c>
      <x:c r="I96" s="705" t="str">
        <x:f>IF($A96="","",IFERROR(INDEX(DESCONTOS!$C$66:$BD$125,MATCH($A96,DESCONTOS!$B$66:$B$125,0),MATCH(EDATE($A$2,-12),DESCONTOS!$C$65:$BD$65,0)),IFERROR(INDEX(DESCONTOS!$C$183:$BD$222,MATCH($A96,DESCONTOS!$B$183:$B$222,0),MATCH(EDATE($A$2,-12),DESCONTOS!$C$182:$BD$182,0)),0)))</x:f>
      </x:c>
      <x:c r="J96" s="411" t="str">
        <x:f>IF($A96="","",IFERROR(INDEX(DESCONTOS!$C$3:$BD$62,MATCH($A96,DESCONTOS!$B$3:$B$62,0),MATCH(EDATE($A$2,-12),DESCONTOS!$C$2:$BD$2,0)),IFERROR(INDEX(DESCONTOS!$C$141:$BD$180,MATCH($A96,DESCONTOS!$B$141:$B$180,0),MATCH(EDATE($A$2,-12),DESCONTOS!$C$140:$BD$140,0)),0)))</x:f>
      </x:c>
      <x:c r="K96" s="705" t="str">
        <x:f>IF($A96="","",IFERROR(INDEX('CADASTRO DE LOJAS'!$I$3:$I$41,MATCH($A$2,'CADASTRO DE LOJAS'!$H$3:$H$41,0)),6000))</x:f>
      </x:c>
      <x:c r="L96" s="707" t="str">
        <x:f>IF($A96="","",IF(D96&gt;K96,"SIM","NÃO"))</x:f>
      </x:c>
    </x:row>
    <x:row r="97" ht="20" hidden="1" customHeight="1">
      <x:c r="A97" t="str">
        <x:f>IF('CADASTRO DE LOJAS'!E98="SIM",'CADASTRO DE LOJAS'!B98,"")</x:f>
      </x:c>
      <x:c r="B97" s="703" t="str">
        <x:f>IF($A97="","",'CADASTRO DE LOJAS'!F98)</x:f>
      </x:c>
      <x:c r="C97" s="714" t="str">
        <x:f>IF($A97="","",'CADASTRO DE LOJAS'!D98)</x:f>
      </x:c>
      <x:c r="D97" s="705" t="str">
        <x:f>IF($A97="","",IFERROR(INDEX(ETIQUETAS!$C$3:$AO$102,MATCH($A97,ETIQUETAS!$B$3:$B$102,0),MATCH($A$2,ETIQUETAS!$C$2:$AO$2,0)),0))</x:f>
      </x:c>
      <x:c r="E97" s="723" t="str">
        <x:f>IF($A97="","",IFERROR(INDEX('DIVERGÊNCIAS'!$C$3:$AO$102,MATCH($A97,'DIVERGÊNCIAS'!$B$3:$B$102,0),MATCH($A$2,'DIVERGÊNCIAS'!$C$2:$AO$2,0)),0))</x:f>
      </x:c>
      <x:c r="F97" s="723" t="str">
        <x:f>IF($A97="","",IFERROR(INDEX('SEM PREÇO'!$C$3:$AO$102,MATCH($A97,'SEM PREÇO'!$B$3:$B$102,0),MATCH($A$2,'SEM PREÇO'!$C$2:$AO$2,0)),0))</x:f>
      </x:c>
      <x:c r="G97" s="705" t="str">
        <x:f>IF($A97="","",IFERROR(INDEX(DESCONTOS!$C$66:$BD$125,MATCH($A97,DESCONTOS!$B$66:$B$125,0),MATCH($A$2,DESCONTOS!$C$65:$BD$65,0)),IFERROR(INDEX(DESCONTOS!$C$183:$BD$222,MATCH($A97,DESCONTOS!$B$183:$B$222,0),MATCH($A$2,DESCONTOS!$C$182:$BD$182,0)),0)))</x:f>
      </x:c>
      <x:c r="H97" s="411" t="str">
        <x:f>IF($A97="","",IFERROR(INDEX(DESCONTOS!$C$3:$BD$62,MATCH($A97,DESCONTOS!$B$3:$B$62,0),MATCH($A$2,DESCONTOS!$C$2:$BD$2,0)),IFERROR(INDEX(DESCONTOS!$C$141:$BD$180,MATCH($A97,DESCONTOS!$B$141:$B$180,0),MATCH($A$2,DESCONTOS!$C$140:$BD$140,0)),0)))</x:f>
      </x:c>
      <x:c r="I97" s="705" t="str">
        <x:f>IF($A97="","",IFERROR(INDEX(DESCONTOS!$C$66:$BD$125,MATCH($A97,DESCONTOS!$B$66:$B$125,0),MATCH(EDATE($A$2,-12),DESCONTOS!$C$65:$BD$65,0)),IFERROR(INDEX(DESCONTOS!$C$183:$BD$222,MATCH($A97,DESCONTOS!$B$183:$B$222,0),MATCH(EDATE($A$2,-12),DESCONTOS!$C$182:$BD$182,0)),0)))</x:f>
      </x:c>
      <x:c r="J97" s="411" t="str">
        <x:f>IF($A97="","",IFERROR(INDEX(DESCONTOS!$C$3:$BD$62,MATCH($A97,DESCONTOS!$B$3:$B$62,0),MATCH(EDATE($A$2,-12),DESCONTOS!$C$2:$BD$2,0)),IFERROR(INDEX(DESCONTOS!$C$141:$BD$180,MATCH($A97,DESCONTOS!$B$141:$B$180,0),MATCH(EDATE($A$2,-12),DESCONTOS!$C$140:$BD$140,0)),0)))</x:f>
      </x:c>
      <x:c r="K97" s="705" t="str">
        <x:f>IF($A97="","",IFERROR(INDEX('CADASTRO DE LOJAS'!$I$3:$I$41,MATCH($A$2,'CADASTRO DE LOJAS'!$H$3:$H$41,0)),6000))</x:f>
      </x:c>
      <x:c r="L97" s="707" t="str">
        <x:f>IF($A97="","",IF(D97&gt;K97,"SIM","NÃO"))</x:f>
      </x:c>
    </x:row>
    <x:row r="98" ht="20" hidden="1" customHeight="1">
      <x:c r="A98" t="str">
        <x:f>IF('CADASTRO DE LOJAS'!E99="SIM",'CADASTRO DE LOJAS'!B99,"")</x:f>
      </x:c>
      <x:c r="B98" s="703" t="str">
        <x:f>IF($A98="","",'CADASTRO DE LOJAS'!F99)</x:f>
      </x:c>
      <x:c r="C98" s="714" t="str">
        <x:f>IF($A98="","",'CADASTRO DE LOJAS'!D99)</x:f>
      </x:c>
      <x:c r="D98" s="705" t="str">
        <x:f>IF($A98="","",IFERROR(INDEX(ETIQUETAS!$C$3:$AO$102,MATCH($A98,ETIQUETAS!$B$3:$B$102,0),MATCH($A$2,ETIQUETAS!$C$2:$AO$2,0)),0))</x:f>
      </x:c>
      <x:c r="E98" s="723" t="str">
        <x:f>IF($A98="","",IFERROR(INDEX('DIVERGÊNCIAS'!$C$3:$AO$102,MATCH($A98,'DIVERGÊNCIAS'!$B$3:$B$102,0),MATCH($A$2,'DIVERGÊNCIAS'!$C$2:$AO$2,0)),0))</x:f>
      </x:c>
      <x:c r="F98" s="723" t="str">
        <x:f>IF($A98="","",IFERROR(INDEX('SEM PREÇO'!$C$3:$AO$102,MATCH($A98,'SEM PREÇO'!$B$3:$B$102,0),MATCH($A$2,'SEM PREÇO'!$C$2:$AO$2,0)),0))</x:f>
      </x:c>
      <x:c r="G98" s="705" t="str">
        <x:f>IF($A98="","",IFERROR(INDEX(DESCONTOS!$C$66:$BD$125,MATCH($A98,DESCONTOS!$B$66:$B$125,0),MATCH($A$2,DESCONTOS!$C$65:$BD$65,0)),IFERROR(INDEX(DESCONTOS!$C$183:$BD$222,MATCH($A98,DESCONTOS!$B$183:$B$222,0),MATCH($A$2,DESCONTOS!$C$182:$BD$182,0)),0)))</x:f>
      </x:c>
      <x:c r="H98" s="411" t="str">
        <x:f>IF($A98="","",IFERROR(INDEX(DESCONTOS!$C$3:$BD$62,MATCH($A98,DESCONTOS!$B$3:$B$62,0),MATCH($A$2,DESCONTOS!$C$2:$BD$2,0)),IFERROR(INDEX(DESCONTOS!$C$141:$BD$180,MATCH($A98,DESCONTOS!$B$141:$B$180,0),MATCH($A$2,DESCONTOS!$C$140:$BD$140,0)),0)))</x:f>
      </x:c>
      <x:c r="I98" s="705" t="str">
        <x:f>IF($A98="","",IFERROR(INDEX(DESCONTOS!$C$66:$BD$125,MATCH($A98,DESCONTOS!$B$66:$B$125,0),MATCH(EDATE($A$2,-12),DESCONTOS!$C$65:$BD$65,0)),IFERROR(INDEX(DESCONTOS!$C$183:$BD$222,MATCH($A98,DESCONTOS!$B$183:$B$222,0),MATCH(EDATE($A$2,-12),DESCONTOS!$C$182:$BD$182,0)),0)))</x:f>
      </x:c>
      <x:c r="J98" s="411" t="str">
        <x:f>IF($A98="","",IFERROR(INDEX(DESCONTOS!$C$3:$BD$62,MATCH($A98,DESCONTOS!$B$3:$B$62,0),MATCH(EDATE($A$2,-12),DESCONTOS!$C$2:$BD$2,0)),IFERROR(INDEX(DESCONTOS!$C$141:$BD$180,MATCH($A98,DESCONTOS!$B$141:$B$180,0),MATCH(EDATE($A$2,-12),DESCONTOS!$C$140:$BD$140,0)),0)))</x:f>
      </x:c>
      <x:c r="K98" s="705" t="str">
        <x:f>IF($A98="","",IFERROR(INDEX('CADASTRO DE LOJAS'!$I$3:$I$41,MATCH($A$2,'CADASTRO DE LOJAS'!$H$3:$H$41,0)),6000))</x:f>
      </x:c>
      <x:c r="L98" s="707" t="str">
        <x:f>IF($A98="","",IF(D98&gt;K98,"SIM","NÃO"))</x:f>
      </x:c>
    </x:row>
    <x:row r="99" ht="20" hidden="1" customHeight="1">
      <x:c r="A99" t="str">
        <x:f>IF('CADASTRO DE LOJAS'!E100="SIM",'CADASTRO DE LOJAS'!B100,"")</x:f>
      </x:c>
      <x:c r="B99" s="703" t="str">
        <x:f>IF($A99="","",'CADASTRO DE LOJAS'!F100)</x:f>
      </x:c>
      <x:c r="C99" s="714" t="str">
        <x:f>IF($A99="","",'CADASTRO DE LOJAS'!D100)</x:f>
      </x:c>
      <x:c r="D99" s="705" t="str">
        <x:f>IF($A99="","",IFERROR(INDEX(ETIQUETAS!$C$3:$AO$102,MATCH($A99,ETIQUETAS!$B$3:$B$102,0),MATCH($A$2,ETIQUETAS!$C$2:$AO$2,0)),0))</x:f>
      </x:c>
      <x:c r="E99" s="723" t="str">
        <x:f>IF($A99="","",IFERROR(INDEX('DIVERGÊNCIAS'!$C$3:$AO$102,MATCH($A99,'DIVERGÊNCIAS'!$B$3:$B$102,0),MATCH($A$2,'DIVERGÊNCIAS'!$C$2:$AO$2,0)),0))</x:f>
      </x:c>
      <x:c r="F99" s="723" t="str">
        <x:f>IF($A99="","",IFERROR(INDEX('SEM PREÇO'!$C$3:$AO$102,MATCH($A99,'SEM PREÇO'!$B$3:$B$102,0),MATCH($A$2,'SEM PREÇO'!$C$2:$AO$2,0)),0))</x:f>
      </x:c>
      <x:c r="G99" s="705" t="str">
        <x:f>IF($A99="","",IFERROR(INDEX(DESCONTOS!$C$66:$BD$125,MATCH($A99,DESCONTOS!$B$66:$B$125,0),MATCH($A$2,DESCONTOS!$C$65:$BD$65,0)),IFERROR(INDEX(DESCONTOS!$C$183:$BD$222,MATCH($A99,DESCONTOS!$B$183:$B$222,0),MATCH($A$2,DESCONTOS!$C$182:$BD$182,0)),0)))</x:f>
      </x:c>
      <x:c r="H99" s="411" t="str">
        <x:f>IF($A99="","",IFERROR(INDEX(DESCONTOS!$C$3:$BD$62,MATCH($A99,DESCONTOS!$B$3:$B$62,0),MATCH($A$2,DESCONTOS!$C$2:$BD$2,0)),IFERROR(INDEX(DESCONTOS!$C$141:$BD$180,MATCH($A99,DESCONTOS!$B$141:$B$180,0),MATCH($A$2,DESCONTOS!$C$140:$BD$140,0)),0)))</x:f>
      </x:c>
      <x:c r="I99" s="705" t="str">
        <x:f>IF($A99="","",IFERROR(INDEX(DESCONTOS!$C$66:$BD$125,MATCH($A99,DESCONTOS!$B$66:$B$125,0),MATCH(EDATE($A$2,-12),DESCONTOS!$C$65:$BD$65,0)),IFERROR(INDEX(DESCONTOS!$C$183:$BD$222,MATCH($A99,DESCONTOS!$B$183:$B$222,0),MATCH(EDATE($A$2,-12),DESCONTOS!$C$182:$BD$182,0)),0)))</x:f>
      </x:c>
      <x:c r="J99" s="411" t="str">
        <x:f>IF($A99="","",IFERROR(INDEX(DESCONTOS!$C$3:$BD$62,MATCH($A99,DESCONTOS!$B$3:$B$62,0),MATCH(EDATE($A$2,-12),DESCONTOS!$C$2:$BD$2,0)),IFERROR(INDEX(DESCONTOS!$C$141:$BD$180,MATCH($A99,DESCONTOS!$B$141:$B$180,0),MATCH(EDATE($A$2,-12),DESCONTOS!$C$140:$BD$140,0)),0)))</x:f>
      </x:c>
      <x:c r="K99" s="705" t="str">
        <x:f>IF($A99="","",IFERROR(INDEX('CADASTRO DE LOJAS'!$I$3:$I$41,MATCH($A$2,'CADASTRO DE LOJAS'!$H$3:$H$41,0)),6000))</x:f>
      </x:c>
      <x:c r="L99" s="707" t="str">
        <x:f>IF($A99="","",IF(D99&gt;K99,"SIM","NÃO"))</x:f>
      </x:c>
    </x:row>
    <x:row r="100" ht="20" hidden="1" customHeight="1">
      <x:c r="A100" t="str">
        <x:f>IF('CADASTRO DE LOJAS'!E101="SIM",'CADASTRO DE LOJAS'!B101,"")</x:f>
      </x:c>
      <x:c r="B100" s="703" t="str">
        <x:f>IF($A100="","",'CADASTRO DE LOJAS'!F101)</x:f>
      </x:c>
      <x:c r="C100" s="714" t="str">
        <x:f>IF($A100="","",'CADASTRO DE LOJAS'!D101)</x:f>
      </x:c>
      <x:c r="D100" s="705" t="str">
        <x:f>IF($A100="","",IFERROR(INDEX(ETIQUETAS!$C$3:$AO$102,MATCH($A100,ETIQUETAS!$B$3:$B$102,0),MATCH($A$2,ETIQUETAS!$C$2:$AO$2,0)),0))</x:f>
      </x:c>
      <x:c r="E100" s="723" t="str">
        <x:f>IF($A100="","",IFERROR(INDEX('DIVERGÊNCIAS'!$C$3:$AO$102,MATCH($A100,'DIVERGÊNCIAS'!$B$3:$B$102,0),MATCH($A$2,'DIVERGÊNCIAS'!$C$2:$AO$2,0)),0))</x:f>
      </x:c>
      <x:c r="F100" s="723" t="str">
        <x:f>IF($A100="","",IFERROR(INDEX('SEM PREÇO'!$C$3:$AO$102,MATCH($A100,'SEM PREÇO'!$B$3:$B$102,0),MATCH($A$2,'SEM PREÇO'!$C$2:$AO$2,0)),0))</x:f>
      </x:c>
      <x:c r="G100" s="705" t="str">
        <x:f>IF($A100="","",IFERROR(INDEX(DESCONTOS!$C$66:$BD$125,MATCH($A100,DESCONTOS!$B$66:$B$125,0),MATCH($A$2,DESCONTOS!$C$65:$BD$65,0)),IFERROR(INDEX(DESCONTOS!$C$183:$BD$222,MATCH($A100,DESCONTOS!$B$183:$B$222,0),MATCH($A$2,DESCONTOS!$C$182:$BD$182,0)),0)))</x:f>
      </x:c>
      <x:c r="H100" s="411" t="str">
        <x:f>IF($A100="","",IFERROR(INDEX(DESCONTOS!$C$3:$BD$62,MATCH($A100,DESCONTOS!$B$3:$B$62,0),MATCH($A$2,DESCONTOS!$C$2:$BD$2,0)),IFERROR(INDEX(DESCONTOS!$C$141:$BD$180,MATCH($A100,DESCONTOS!$B$141:$B$180,0),MATCH($A$2,DESCONTOS!$C$140:$BD$140,0)),0)))</x:f>
      </x:c>
      <x:c r="I100" s="705" t="str">
        <x:f>IF($A100="","",IFERROR(INDEX(DESCONTOS!$C$66:$BD$125,MATCH($A100,DESCONTOS!$B$66:$B$125,0),MATCH(EDATE($A$2,-12),DESCONTOS!$C$65:$BD$65,0)),IFERROR(INDEX(DESCONTOS!$C$183:$BD$222,MATCH($A100,DESCONTOS!$B$183:$B$222,0),MATCH(EDATE($A$2,-12),DESCONTOS!$C$182:$BD$182,0)),0)))</x:f>
      </x:c>
      <x:c r="J100" s="411" t="str">
        <x:f>IF($A100="","",IFERROR(INDEX(DESCONTOS!$C$3:$BD$62,MATCH($A100,DESCONTOS!$B$3:$B$62,0),MATCH(EDATE($A$2,-12),DESCONTOS!$C$2:$BD$2,0)),IFERROR(INDEX(DESCONTOS!$C$141:$BD$180,MATCH($A100,DESCONTOS!$B$141:$B$180,0),MATCH(EDATE($A$2,-12),DESCONTOS!$C$140:$BD$140,0)),0)))</x:f>
      </x:c>
      <x:c r="K100" s="705" t="str">
        <x:f>IF($A100="","",IFERROR(INDEX('CADASTRO DE LOJAS'!$I$3:$I$41,MATCH($A$2,'CADASTRO DE LOJAS'!$H$3:$H$41,0)),6000))</x:f>
      </x:c>
      <x:c r="L100" s="707" t="str">
        <x:f>IF($A100="","",IF(D100&gt;K100,"SIM","NÃO"))</x:f>
      </x:c>
    </x:row>
    <x:row r="101" ht="20" hidden="1" customHeight="1">
      <x:c r="A101" t="str">
        <x:f>IF('CADASTRO DE LOJAS'!E102="SIM",'CADASTRO DE LOJAS'!B102,"")</x:f>
      </x:c>
      <x:c r="B101" s="703" t="str">
        <x:f>IF($A101="","",'CADASTRO DE LOJAS'!F102)</x:f>
      </x:c>
      <x:c r="C101" s="714" t="str">
        <x:f>IF($A101="","",'CADASTRO DE LOJAS'!D102)</x:f>
      </x:c>
      <x:c r="D101" s="705" t="str">
        <x:f>IF($A101="","",IFERROR(INDEX(ETIQUETAS!$C$3:$AO$102,MATCH($A101,ETIQUETAS!$B$3:$B$102,0),MATCH($A$2,ETIQUETAS!$C$2:$AO$2,0)),0))</x:f>
      </x:c>
      <x:c r="E101" s="723" t="str">
        <x:f>IF($A101="","",IFERROR(INDEX('DIVERGÊNCIAS'!$C$3:$AO$102,MATCH($A101,'DIVERGÊNCIAS'!$B$3:$B$102,0),MATCH($A$2,'DIVERGÊNCIAS'!$C$2:$AO$2,0)),0))</x:f>
      </x:c>
      <x:c r="F101" s="723" t="str">
        <x:f>IF($A101="","",IFERROR(INDEX('SEM PREÇO'!$C$3:$AO$102,MATCH($A101,'SEM PREÇO'!$B$3:$B$102,0),MATCH($A$2,'SEM PREÇO'!$C$2:$AO$2,0)),0))</x:f>
      </x:c>
      <x:c r="G101" s="705" t="str">
        <x:f>IF($A101="","",IFERROR(INDEX(DESCONTOS!$C$66:$BD$125,MATCH($A101,DESCONTOS!$B$66:$B$125,0),MATCH($A$2,DESCONTOS!$C$65:$BD$65,0)),IFERROR(INDEX(DESCONTOS!$C$183:$BD$222,MATCH($A101,DESCONTOS!$B$183:$B$222,0),MATCH($A$2,DESCONTOS!$C$182:$BD$182,0)),0)))</x:f>
      </x:c>
      <x:c r="H101" s="411" t="str">
        <x:f>IF($A101="","",IFERROR(INDEX(DESCONTOS!$C$3:$BD$62,MATCH($A101,DESCONTOS!$B$3:$B$62,0),MATCH($A$2,DESCONTOS!$C$2:$BD$2,0)),IFERROR(INDEX(DESCONTOS!$C$141:$BD$180,MATCH($A101,DESCONTOS!$B$141:$B$180,0),MATCH($A$2,DESCONTOS!$C$140:$BD$140,0)),0)))</x:f>
      </x:c>
      <x:c r="I101" s="705" t="str">
        <x:f>IF($A101="","",IFERROR(INDEX(DESCONTOS!$C$66:$BD$125,MATCH($A101,DESCONTOS!$B$66:$B$125,0),MATCH(EDATE($A$2,-12),DESCONTOS!$C$65:$BD$65,0)),IFERROR(INDEX(DESCONTOS!$C$183:$BD$222,MATCH($A101,DESCONTOS!$B$183:$B$222,0),MATCH(EDATE($A$2,-12),DESCONTOS!$C$182:$BD$182,0)),0)))</x:f>
      </x:c>
      <x:c r="J101" s="411" t="str">
        <x:f>IF($A101="","",IFERROR(INDEX(DESCONTOS!$C$3:$BD$62,MATCH($A101,DESCONTOS!$B$3:$B$62,0),MATCH(EDATE($A$2,-12),DESCONTOS!$C$2:$BD$2,0)),IFERROR(INDEX(DESCONTOS!$C$141:$BD$180,MATCH($A101,DESCONTOS!$B$141:$B$180,0),MATCH(EDATE($A$2,-12),DESCONTOS!$C$140:$BD$140,0)),0)))</x:f>
      </x:c>
      <x:c r="K101" s="705" t="str">
        <x:f>IF($A101="","",IFERROR(INDEX('CADASTRO DE LOJAS'!$I$3:$I$41,MATCH($A$2,'CADASTRO DE LOJAS'!$H$3:$H$41,0)),6000))</x:f>
      </x:c>
      <x:c r="L101" s="707" t="str">
        <x:f>IF($A101="","",IF(D101&gt;K101,"SIM","NÃO"))</x:f>
      </x:c>
    </x:row>
    <x:row r="102" ht="20" hidden="1" customHeight="1">
      <x:c r="A102" t="str">
        <x:f>IF('CADASTRO DE LOJAS'!E103="SIM",'CADASTRO DE LOJAS'!B103,"")</x:f>
      </x:c>
      <x:c r="B102" s="703" t="str">
        <x:f>IF($A102="","",'CADASTRO DE LOJAS'!F103)</x:f>
      </x:c>
      <x:c r="C102" s="714" t="str">
        <x:f>IF($A102="","",'CADASTRO DE LOJAS'!D103)</x:f>
      </x:c>
      <x:c r="D102" s="705" t="str">
        <x:f>IF($A102="","",IFERROR(INDEX(ETIQUETAS!$C$3:$AO$102,MATCH($A102,ETIQUETAS!$B$3:$B$102,0),MATCH($A$2,ETIQUETAS!$C$2:$AO$2,0)),0))</x:f>
      </x:c>
      <x:c r="E102" s="723" t="str">
        <x:f>IF($A102="","",IFERROR(INDEX('DIVERGÊNCIAS'!$C$3:$AO$102,MATCH($A102,'DIVERGÊNCIAS'!$B$3:$B$102,0),MATCH($A$2,'DIVERGÊNCIAS'!$C$2:$AO$2,0)),0))</x:f>
      </x:c>
      <x:c r="F102" s="723" t="str">
        <x:f>IF($A102="","",IFERROR(INDEX('SEM PREÇO'!$C$3:$AO$102,MATCH($A102,'SEM PREÇO'!$B$3:$B$102,0),MATCH($A$2,'SEM PREÇO'!$C$2:$AO$2,0)),0))</x:f>
      </x:c>
      <x:c r="G102" s="705" t="str">
        <x:f>IF($A102="","",IFERROR(INDEX(DESCONTOS!$C$66:$BD$125,MATCH($A102,DESCONTOS!$B$66:$B$125,0),MATCH($A$2,DESCONTOS!$C$65:$BD$65,0)),IFERROR(INDEX(DESCONTOS!$C$183:$BD$222,MATCH($A102,DESCONTOS!$B$183:$B$222,0),MATCH($A$2,DESCONTOS!$C$182:$BD$182,0)),0)))</x:f>
      </x:c>
      <x:c r="H102" s="411" t="str">
        <x:f>IF($A102="","",IFERROR(INDEX(DESCONTOS!$C$3:$BD$62,MATCH($A102,DESCONTOS!$B$3:$B$62,0),MATCH($A$2,DESCONTOS!$C$2:$BD$2,0)),IFERROR(INDEX(DESCONTOS!$C$141:$BD$180,MATCH($A102,DESCONTOS!$B$141:$B$180,0),MATCH($A$2,DESCONTOS!$C$140:$BD$140,0)),0)))</x:f>
      </x:c>
      <x:c r="I102" s="705" t="str">
        <x:f>IF($A102="","",IFERROR(INDEX(DESCONTOS!$C$66:$BD$125,MATCH($A102,DESCONTOS!$B$66:$B$125,0),MATCH(EDATE($A$2,-12),DESCONTOS!$C$65:$BD$65,0)),IFERROR(INDEX(DESCONTOS!$C$183:$BD$222,MATCH($A102,DESCONTOS!$B$183:$B$222,0),MATCH(EDATE($A$2,-12),DESCONTOS!$C$182:$BD$182,0)),0)))</x:f>
      </x:c>
      <x:c r="J102" s="411" t="str">
        <x:f>IF($A102="","",IFERROR(INDEX(DESCONTOS!$C$3:$BD$62,MATCH($A102,DESCONTOS!$B$3:$B$62,0),MATCH(EDATE($A$2,-12),DESCONTOS!$C$2:$BD$2,0)),IFERROR(INDEX(DESCONTOS!$C$141:$BD$180,MATCH($A102,DESCONTOS!$B$141:$B$180,0),MATCH(EDATE($A$2,-12),DESCONTOS!$C$140:$BD$140,0)),0)))</x:f>
      </x:c>
      <x:c r="K102" s="705" t="str">
        <x:f>IF($A102="","",IFERROR(INDEX('CADASTRO DE LOJAS'!$I$3:$I$41,MATCH($A$2,'CADASTRO DE LOJAS'!$H$3:$H$41,0)),6000))</x:f>
      </x:c>
      <x:c r="L102" s="707" t="str">
        <x:f>IF($A102="","",IF(D102&gt;K102,"SIM","NÃO"))</x:f>
      </x:c>
    </x:row>
    <x:row r="103" ht="20" hidden="1" customHeight="1">
      <x:c r="A103" t="str">
        <x:f>IF('CADASTRO DE LOJAS'!E104="SIM",'CADASTRO DE LOJAS'!B104,"")</x:f>
      </x:c>
      <x:c r="B103" s="708" t="str">
        <x:f>IF($A103="","",'CADASTRO DE LOJAS'!F104)</x:f>
      </x:c>
      <x:c r="C103" s="715" t="str">
        <x:f>IF($A103="","",'CADASTRO DE LOJAS'!D104)</x:f>
      </x:c>
      <x:c r="D103" s="710" t="str">
        <x:f>IF($A103="","",IFERROR(INDEX(ETIQUETAS!$C$3:$AO$102,MATCH($A103,ETIQUETAS!$B$3:$B$102,0),MATCH($A$2,ETIQUETAS!$C$2:$AO$2,0)),0))</x:f>
      </x:c>
      <x:c r="E103" s="724" t="str">
        <x:f>IF($A103="","",IFERROR(INDEX('DIVERGÊNCIAS'!$C$3:$AO$102,MATCH($A103,'DIVERGÊNCIAS'!$B$3:$B$102,0),MATCH($A$2,'DIVERGÊNCIAS'!$C$2:$AO$2,0)),0))</x:f>
      </x:c>
      <x:c r="F103" s="724" t="str">
        <x:f>IF($A103="","",IFERROR(INDEX('SEM PREÇO'!$C$3:$AO$102,MATCH($A103,'SEM PREÇO'!$B$3:$B$102,0),MATCH($A$2,'SEM PREÇO'!$C$2:$AO$2,0)),0))</x:f>
      </x:c>
      <x:c r="G103" s="710" t="str">
        <x:f>IF($A103="","",IFERROR(INDEX(DESCONTOS!$C$66:$BD$125,MATCH($A103,DESCONTOS!$B$66:$B$125,0),MATCH($A$2,DESCONTOS!$C$65:$BD$65,0)),IFERROR(INDEX(DESCONTOS!$C$183:$BD$222,MATCH($A103,DESCONTOS!$B$183:$B$222,0),MATCH($A$2,DESCONTOS!$C$182:$BD$182,0)),0)))</x:f>
      </x:c>
      <x:c r="H103" s="412" t="str">
        <x:f>IF($A103="","",IFERROR(INDEX(DESCONTOS!$C$3:$BD$62,MATCH($A103,DESCONTOS!$B$3:$B$62,0),MATCH($A$2,DESCONTOS!$C$2:$BD$2,0)),IFERROR(INDEX(DESCONTOS!$C$141:$BD$180,MATCH($A103,DESCONTOS!$B$141:$B$180,0),MATCH($A$2,DESCONTOS!$C$140:$BD$140,0)),0)))</x:f>
      </x:c>
      <x:c r="I103" s="710" t="str">
        <x:f>IF($A103="","",IFERROR(INDEX(DESCONTOS!$C$66:$BD$125,MATCH($A103,DESCONTOS!$B$66:$B$125,0),MATCH(EDATE($A$2,-12),DESCONTOS!$C$65:$BD$65,0)),IFERROR(INDEX(DESCONTOS!$C$183:$BD$222,MATCH($A103,DESCONTOS!$B$183:$B$222,0),MATCH(EDATE($A$2,-12),DESCONTOS!$C$182:$BD$182,0)),0)))</x:f>
      </x:c>
      <x:c r="J103" s="412" t="str">
        <x:f>IF($A103="","",IFERROR(INDEX(DESCONTOS!$C$3:$BD$62,MATCH($A103,DESCONTOS!$B$3:$B$62,0),MATCH(EDATE($A$2,-12),DESCONTOS!$C$2:$BD$2,0)),IFERROR(INDEX(DESCONTOS!$C$141:$BD$180,MATCH($A103,DESCONTOS!$B$141:$B$180,0),MATCH(EDATE($A$2,-12),DESCONTOS!$C$140:$BD$140,0)),0)))</x:f>
      </x:c>
      <x:c r="K103" s="710" t="str">
        <x:f>IF($A103="","",IFERROR(INDEX('CADASTRO DE LOJAS'!$I$3:$I$41,MATCH($A$2,'CADASTRO DE LOJAS'!$H$3:$H$41,0)),6000))</x:f>
      </x:c>
      <x:c r="L103" s="712" t="str">
        <x:f>IF($A103="","",IF(D103&gt;K103,"SIM","NÃO"))</x:f>
      </x:c>
    </x:row>
    <x:row r="104" ht="24" hidden="1" customHeight="1">
      <x:c r="B104" s="416" t="str">
        <x:v>TOTAL REDE</x:v>
      </x:c>
      <x:c r="C104" s="416" t="str">
        <x:f>COUNT($A$4:$A$103)&amp;" LOJAS"</x:f>
        <x:v>60 LOJAS</x:v>
      </x:c>
      <x:c r="D104" s="418" t="n">
        <x:f>SUM(D4:D103)</x:f>
        <x:v>424421</x:v>
      </x:c>
      <x:c r="E104" s="418" t="n">
        <x:f>SUM(E4:E103)</x:f>
        <x:v>2820</x:v>
      </x:c>
      <x:c r="F104" s="418" t="n">
        <x:f>SUM(F4:F103)</x:f>
        <x:v>21184</x:v>
      </x:c>
      <x:c r="G104" s="418" t="n">
        <x:f>SUM(G4:G103)</x:f>
        <x:v>2923</x:v>
      </x:c>
      <x:c r="H104" s="417" t="n">
        <x:f>SUM(H4:H103)</x:f>
        <x:v>31752.379999999997</x:v>
      </x:c>
      <x:c r="I104" s="418" t="n">
        <x:f>SUM(I4:I103)</x:f>
        <x:v>934</x:v>
      </x:c>
      <x:c r="J104" s="417" t="n">
        <x:f>SUM(J4:J103)</x:f>
        <x:v>11194.33</x:v>
      </x:c>
      <x:c r="K104" s="418" t="n">
        <x:f>SUM(K4:K103)</x:f>
        <x:v>360000</x:v>
      </x:c>
      <x:c r="L104" s="416" t="str">
        <x:f>IF(D104&gt;K104,"SIM","NÃO")</x:f>
        <x:v>SIM</x:v>
      </x:c>
    </x:row>
    <x:row r="105" ht="23.25" hidden="1" customHeight="1">
      <x:c r="B105"/>
      <x:c r="C105"/>
      <x:c r="D105"/>
      <x:c r="E105"/>
      <x:c r="J105"/>
    </x:row>
    <x:row r="106" ht="23.25" hidden="1" customHeight="1">
      <x:c r="B106"/>
      <x:c r="C106"/>
      <x:c r="D106"/>
      <x:c r="E106"/>
    </x:row>
    <x:row r="107" ht="23.25" hidden="1" customHeight="1">
      <x:c r="E107"/>
    </x:row>
    <x:row r="108" ht="26" hidden="1" customHeight="1">
      <x:c r="B108" s="422" t="str">
        <x:v>REGIONAL</x:v>
      </x:c>
      <x:c r="C108" s="422" t="str">
        <x:v>LOJAS</x:v>
      </x:c>
      <x:c r="D108" s="422" t="str">
        <x:v>ETIQUETAS</x:v>
      </x:c>
      <x:c r="E108" s="422" t="str">
        <x:v>DIVERGÊNCIAS</x:v>
      </x:c>
      <x:c r="F108" s="422" t="str">
        <x:v>SEM PREÇO</x:v>
      </x:c>
      <x:c r="G108" s="422" t="str">
        <x:v>QTD. DESCONTOS</x:v>
      </x:c>
      <x:c r="H108" s="422" t="str">
        <x:v>VALOR DESCONTOS</x:v>
      </x:c>
      <x:c r="I108" s="422" t="str">
        <x:v>ATINGIMENTO</x:v>
      </x:c>
    </x:row>
    <x:row r="109" ht="20" hidden="1" customHeight="1">
      <x:c r="B109" s="426" t="str">
        <x:v>GUARDIÕES DA CHAMA</x:v>
      </x:c>
      <x:c r="C109" s="426" t="n">
        <x:f>COUNTIF($C$4:$C$103,B109)</x:f>
        <x:v>10</x:v>
      </x:c>
      <x:c r="D109" s="426" t="n">
        <x:f>SUMIF($C$4:$C$103,B109,$D$4:$D$103)</x:f>
        <x:v>65408</x:v>
      </x:c>
      <x:c r="E109" s="426" t="n">
        <x:f>SUMIF($C$4:$C$103,B109,$E$4:$E$103)</x:f>
        <x:v>426</x:v>
      </x:c>
      <x:c r="F109" s="426" t="n">
        <x:f>SUMIF($C$4:$C$103,B109,$F$4:$F$103)</x:f>
        <x:v>3194</x:v>
      </x:c>
      <x:c r="G109" s="426" t="n">
        <x:f>SUMIF($C$4:$C$103,B109,$G$4:$G$103)</x:f>
        <x:v>329</x:v>
      </x:c>
      <x:c r="H109" s="428" t="n">
        <x:f>SUMIF($C$4:$C$103,B109,$H$4:$H$103)</x:f>
        <x:v>3228.1499999999996</x:v>
      </x:c>
      <x:c r="I109" s="430" t="n">
        <x:f>IFERROR(SUMIF($C$4:$C$103,B109,$D$4:$D$103)/SUMIF($C$4:$C$103,B109,$K$4:$K$103),0)</x:f>
        <x:v>1.0901333333333334</x:v>
      </x:c>
    </x:row>
    <x:row r="110" ht="20" hidden="1" customHeight="1">
      <x:c r="B110" s="426" t="str">
        <x:v>GUARDIÕES DA LUZ</x:v>
      </x:c>
      <x:c r="C110" s="426" t="n">
        <x:f>COUNTIF($C$4:$C$103,B110)</x:f>
        <x:v>11</x:v>
      </x:c>
      <x:c r="D110" s="426" t="n">
        <x:f>SUMIF($C$4:$C$103,B110,$D$4:$D$103)</x:f>
        <x:v>77782</x:v>
      </x:c>
      <x:c r="E110" s="426" t="n">
        <x:f>SUMIF($C$4:$C$103,B110,$E$4:$E$103)</x:f>
        <x:v>517</x:v>
      </x:c>
      <x:c r="F110" s="426" t="n">
        <x:f>SUMIF($C$4:$C$103,B110,$F$4:$F$103)</x:f>
        <x:v>1577</x:v>
      </x:c>
      <x:c r="G110" s="426" t="n">
        <x:f>SUMIF($C$4:$C$103,B110,$G$4:$G$103)</x:f>
        <x:v>574</x:v>
      </x:c>
      <x:c r="H110" s="428" t="n">
        <x:f>SUMIF($C$4:$C$103,B110,$H$4:$H$103)</x:f>
        <x:v>5647.04</x:v>
      </x:c>
      <x:c r="I110" s="430" t="n">
        <x:f>IFERROR(SUMIF($C$4:$C$103,B110,$D$4:$D$103)/SUMIF($C$4:$C$103,B110,$K$4:$K$103),0)</x:f>
        <x:v>1.1785151515151515</x:v>
      </x:c>
    </x:row>
    <x:row r="111" ht="20" hidden="1" customHeight="1">
      <x:c r="B111" s="426" t="str">
        <x:v>OCEANO MARA</x:v>
      </x:c>
      <x:c r="C111" s="426" t="n">
        <x:f>COUNTIF($C$4:$C$103,B111)</x:f>
        <x:v>10</x:v>
      </x:c>
      <x:c r="D111" s="426" t="n">
        <x:f>SUMIF($C$4:$C$103,B111,$D$4:$D$103)</x:f>
        <x:v>54565</x:v>
      </x:c>
      <x:c r="E111" s="426" t="n">
        <x:f>SUMIF($C$4:$C$103,B111,$E$4:$E$103)</x:f>
        <x:v>492</x:v>
      </x:c>
      <x:c r="F111" s="426" t="n">
        <x:f>SUMIF($C$4:$C$103,B111,$F$4:$F$103)</x:f>
        <x:v>5758</x:v>
      </x:c>
      <x:c r="G111" s="426" t="n">
        <x:f>SUMIF($C$4:$C$103,B111,$G$4:$G$103)</x:f>
        <x:v>613</x:v>
      </x:c>
      <x:c r="H111" s="428" t="n">
        <x:f>SUMIF($C$4:$C$103,B111,$H$4:$H$103)</x:f>
        <x:v>7746.489999999999</x:v>
      </x:c>
      <x:c r="I111" s="430" t="n">
        <x:f>IFERROR(SUMIF($C$4:$C$103,B111,$D$4:$D$103)/SUMIF($C$4:$C$103,B111,$K$4:$K$103),0)</x:f>
        <x:v>0.9094166666666667</x:v>
      </x:c>
    </x:row>
    <x:row r="112" ht="20" customHeight="1">
      <x:c r="B112" s="426" t="str">
        <x:v>RAIO BRAVO</x:v>
      </x:c>
      <x:c r="C112" s="426" t="n">
        <x:f>COUNTIF($C$4:$C$103,B112)</x:f>
        <x:v>9</x:v>
      </x:c>
      <x:c r="D112" s="426" t="n">
        <x:f>SUMIF($C$4:$C$103,B112,$D$4:$D$103)</x:f>
        <x:v>62051</x:v>
      </x:c>
      <x:c r="E112" s="426" t="n">
        <x:f>SUMIF($C$4:$C$103,B112,$E$4:$E$103)</x:f>
        <x:v>317</x:v>
      </x:c>
      <x:c r="F112" s="426" t="n">
        <x:f>SUMIF($C$4:$C$103,B112,$F$4:$F$103)</x:f>
        <x:v>1889</x:v>
      </x:c>
      <x:c r="G112" s="426" t="n">
        <x:f>SUMIF($C$4:$C$103,B112,$G$4:$G$103)</x:f>
        <x:v>655</x:v>
      </x:c>
      <x:c r="H112" s="428" t="n">
        <x:f>SUMIF($C$4:$C$103,B112,$H$4:$H$103)</x:f>
        <x:v>6490.74</x:v>
      </x:c>
      <x:c r="I112" s="430" t="n">
        <x:f>IFERROR(SUMIF($C$4:$C$103,B112,$D$4:$D$103)/SUMIF($C$4:$C$103,B112,$K$4:$K$103),0)</x:f>
        <x:v>1.1490925925925926</x:v>
      </x:c>
    </x:row>
    <x:row r="113" ht="20" customHeight="1">
      <x:c r="B113" s="426" t="str">
        <x:v>RAÍZES DO LAR</x:v>
      </x:c>
      <x:c r="C113" s="426" t="n">
        <x:f>COUNTIF($C$4:$C$103,B113)</x:f>
        <x:v>12</x:v>
      </x:c>
      <x:c r="D113" s="426" t="n">
        <x:f>SUMIF($C$4:$C$103,B113,$D$4:$D$103)</x:f>
        <x:v>127261</x:v>
      </x:c>
      <x:c r="E113" s="426" t="n">
        <x:f>SUMIF($C$4:$C$103,B113,$E$4:$E$103)</x:f>
        <x:v>689</x:v>
      </x:c>
      <x:c r="F113" s="426" t="n">
        <x:f>SUMIF($C$4:$C$103,B113,$F$4:$F$103)</x:f>
        <x:v>6196</x:v>
      </x:c>
      <x:c r="G113" s="426" t="n">
        <x:f>SUMIF($C$4:$C$103,B113,$G$4:$G$103)</x:f>
        <x:v>487</x:v>
      </x:c>
      <x:c r="H113" s="428" t="n">
        <x:f>SUMIF($C$4:$C$103,B113,$H$4:$H$103)</x:f>
        <x:v>5474.04</x:v>
      </x:c>
      <x:c r="I113" s="430" t="n">
        <x:f>IFERROR(SUMIF($C$4:$C$103,B113,$D$4:$D$103)/SUMIF($C$4:$C$103,B113,$K$4:$K$103),0)</x:f>
        <x:v>1.7675138888888888</x:v>
      </x:c>
    </x:row>
    <x:row r="114" ht="20" customHeight="1">
      <x:c r="B114" s="427" t="str">
        <x:v>VENTO DOURADO</x:v>
      </x:c>
      <x:c r="C114" s="427" t="n">
        <x:f>COUNTIF($C$4:$C$103,B114)</x:f>
        <x:v>8</x:v>
      </x:c>
      <x:c r="D114" s="427" t="n">
        <x:f>SUMIF($C$4:$C$103,B114,$D$4:$D$103)</x:f>
        <x:v>37354</x:v>
      </x:c>
      <x:c r="E114" s="427" t="n">
        <x:f>SUMIF($C$4:$C$103,B114,$E$4:$E$103)</x:f>
        <x:v>379</x:v>
      </x:c>
      <x:c r="F114" s="427" t="n">
        <x:f>SUMIF($C$4:$C$103,B114,$F$4:$F$103)</x:f>
        <x:v>2570</x:v>
      </x:c>
      <x:c r="G114" s="427" t="n">
        <x:f>SUMIF($C$4:$C$103,B114,$G$4:$G$103)</x:f>
        <x:v>265</x:v>
      </x:c>
      <x:c r="H114" s="429" t="n">
        <x:f>SUMIF($C$4:$C$103,B114,$H$4:$H$103)</x:f>
        <x:v>3165.92</x:v>
      </x:c>
      <x:c r="I114" s="431" t="n">
        <x:f>IFERROR(SUMIF($C$4:$C$103,B114,$D$4:$D$103)/SUMIF($C$4:$C$103,B114,$K$4:$K$103),0)</x:f>
        <x:v>0.7782083333333333</x:v>
      </x:c>
    </x:row>
  </x:sheetData>
  <x:mergeCells>
    <x:mergeCell ref="B1:L1"/>
    <x:mergeCell ref="F2:H2"/>
    <x:mergeCell ref="I2:L2"/>
  </x:mergeCells>
  <x:conditionalFormatting sqref="B4:L103">
    <x:cfRule type="expression" dxfId="20" priority="81">
      <x:formula>MOD(ROW(),2)=0</x:formula>
    </x:cfRule>
    <x:cfRule type="expression" dxfId="39" priority="87">
      <x:formula>MOD(ROW(),2)=0</x:formula>
    </x:cfRule>
    <x:cfRule type="expression" dxfId="45" priority="93">
      <x:formula>MOD(ROW(),2)=0</x:formula>
    </x:cfRule>
  </x:conditionalFormatting>
  <x:conditionalFormatting sqref="L4:L103">
    <x:cfRule type="expression" dxfId="21" priority="82">
      <x:formula>L4="SIM"</x:formula>
    </x:cfRule>
    <x:cfRule type="expression" dxfId="22" priority="83">
      <x:formula>L4="NÃO"</x:formula>
    </x:cfRule>
    <x:cfRule type="expression" dxfId="40" priority="88">
      <x:formula>L4="SIM"</x:formula>
    </x:cfRule>
    <x:cfRule type="expression" dxfId="41" priority="89">
      <x:formula>L4="NÃO"</x:formula>
    </x:cfRule>
    <x:cfRule type="expression" dxfId="46" priority="94">
      <x:formula>L4="SIM"</x:formula>
    </x:cfRule>
    <x:cfRule type="expression" dxfId="47" priority="95">
      <x:formula>L4="NÃO"</x:formula>
    </x:cfRule>
  </x:conditionalFormatting>
  <x:conditionalFormatting sqref="D4:D103">
    <x:cfRule type="expression" dxfId="24" priority="85">
      <x:formula>AND(D4&lt;&gt;"",D4&lt;$K4)</x:formula>
    </x:cfRule>
    <x:cfRule type="expression" dxfId="42" priority="90">
      <x:formula>AND(D4&lt;&gt;"",D4&lt;$K4)</x:formula>
    </x:cfRule>
    <x:cfRule type="expression" dxfId="48" priority="96">
      <x:formula>AND(D4&lt;&gt;"",D4&lt;$K4)</x:formula>
    </x:cfRule>
  </x:conditionalFormatting>
  <x:conditionalFormatting sqref="B109:I114">
    <x:cfRule type="expression" dxfId="25" priority="86">
      <x:formula>MOD(ROW(),2)=1</x:formula>
    </x:cfRule>
    <x:cfRule type="expression" dxfId="44" priority="92">
      <x:formula>MOD(ROW(),2)=1</x:formula>
    </x:cfRule>
  </x:conditionalFormatting>
  <x:dataValidations count="2">
    <x:dataValidation type="list" allowBlank="0" showDropDown="0" sqref="C2">
      <x:formula1>"2024,2025,2026,2027,2028"</x:formula1>
    </x:dataValidation>
    <x:dataValidation type="list" allowBlank="0" showDropDown="0" sqref="E2">
      <x:formula1>"janeiro,fevereiro,março,abril,maio,junho,julho,agosto,setembro,outubro,novembro,dezembro"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3" tint="0.49998"/>
  </x:sheetPr>
  <x:sheetFormatPr defaultRowHeight="12.75"/>
  <x:cols>
    <x:col min="1" max="1" width="2" hidden="0" customWidth="1"/>
    <x:col min="2" max="2" width="10" hidden="0" customWidth="1"/>
    <x:col min="3" max="56" width="12.7109375" customWidth="1"/>
    <x:col min="57" max="59" width="11" customWidth="1"/>
    <x:col min="60" max="60" width="13.28515625" customWidth="1"/>
    <x:col min="61" max="61" width="19.42578125" customWidth="1"/>
    <x:col min="62" max="62" width="7.42578125" customWidth="1"/>
    <x:col min="63" max="63" width="14" customWidth="1"/>
    <x:col min="64" max="64" width="10.140625" customWidth="1"/>
    <x:col min="67" max="67" width="22.42578125" customWidth="1"/>
    <x:col min="70" max="70" width="11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</x:cols>
  <x:sheetData>
    <x:row r="1" ht="7.5" customHeight="1"/>
    <x:row r="2" ht="24" customHeight="1">
      <x:c r="B2" s="461" t="s">
        <x:v>0</x:v>
      </x:c>
      <x:c r="C2" s="463">
        <x:v>45139</x:v>
      </x:c>
      <x:c r="D2" s="463">
        <x:v>45170</x:v>
      </x:c>
      <x:c r="E2" s="463">
        <x:v>45200</x:v>
      </x:c>
      <x:c r="F2" s="463">
        <x:v>45231</x:v>
      </x:c>
      <x:c r="G2" s="463">
        <x:v>45261</x:v>
      </x:c>
      <x:c r="H2" s="463">
        <x:v>45292</x:v>
      </x:c>
      <x:c r="I2" s="463">
        <x:v>45323</x:v>
      </x:c>
      <x:c r="J2" s="463">
        <x:v>45352</x:v>
      </x:c>
      <x:c r="K2" s="463">
        <x:v>45383</x:v>
      </x:c>
      <x:c r="L2" s="463">
        <x:v>45413</x:v>
      </x:c>
      <x:c r="M2" s="463">
        <x:v>45444</x:v>
      </x:c>
      <x:c r="N2" s="463">
        <x:v>45474</x:v>
      </x:c>
      <x:c r="O2" s="463">
        <x:v>45505</x:v>
      </x:c>
      <x:c r="P2" s="463">
        <x:v>45536</x:v>
      </x:c>
      <x:c r="Q2" s="463">
        <x:v>45566</x:v>
      </x:c>
      <x:c r="R2" s="463">
        <x:v>45597</x:v>
      </x:c>
      <x:c r="S2" s="463">
        <x:v>45627</x:v>
      </x:c>
      <x:c r="T2" s="463">
        <x:v>45658</x:v>
      </x:c>
      <x:c r="U2" s="463">
        <x:v>45689</x:v>
      </x:c>
      <x:c r="V2" s="463">
        <x:v>45717</x:v>
      </x:c>
      <x:c r="W2" s="463">
        <x:v>45748</x:v>
      </x:c>
      <x:c r="X2" s="463">
        <x:v>45778</x:v>
      </x:c>
      <x:c r="Y2" s="463">
        <x:v>45809</x:v>
      </x:c>
      <x:c r="Z2" s="463">
        <x:v>45839</x:v>
      </x:c>
      <x:c r="AA2" s="463">
        <x:v>45870</x:v>
      </x:c>
      <x:c r="AB2" s="463">
        <x:v>45901</x:v>
      </x:c>
      <x:c r="AC2" s="463">
        <x:v>45931</x:v>
      </x:c>
      <x:c r="AD2" s="463">
        <x:v>45962</x:v>
      </x:c>
      <x:c r="AE2" s="463">
        <x:v>45992</x:v>
      </x:c>
      <x:c r="AF2" s="463">
        <x:v>46023</x:v>
      </x:c>
      <x:c r="AG2" s="463">
        <x:v>46054</x:v>
      </x:c>
      <x:c r="AH2" s="463">
        <x:v>46082</x:v>
      </x:c>
      <x:c r="AI2" s="463">
        <x:v>46113</x:v>
      </x:c>
      <x:c r="AJ2" s="463">
        <x:v>46143</x:v>
      </x:c>
      <x:c r="AK2" s="463">
        <x:v>46174</x:v>
      </x:c>
      <x:c r="AL2" s="463">
        <x:v>46204</x:v>
      </x:c>
      <x:c r="AM2" s="463">
        <x:v>46235</x:v>
      </x:c>
      <x:c r="AN2" s="463">
        <x:v>46266</x:v>
      </x:c>
      <x:c r="AO2" s="463">
        <x:v>46296</x:v>
      </x:c>
      <x:c r="AP2" s="463">
        <x:v>46327</x:v>
      </x:c>
      <x:c r="AQ2" s="463">
        <x:v>46357</x:v>
      </x:c>
      <x:c r="AR2" s="463">
        <x:v>46388</x:v>
      </x:c>
      <x:c r="AS2" s="463">
        <x:v>46419</x:v>
      </x:c>
      <x:c r="AT2" s="463">
        <x:v>46447</x:v>
      </x:c>
      <x:c r="AU2" s="463">
        <x:v>46478</x:v>
      </x:c>
      <x:c r="AV2" s="463">
        <x:v>46508</x:v>
      </x:c>
      <x:c r="AW2" s="463">
        <x:v>46539</x:v>
      </x:c>
      <x:c r="AX2" s="463">
        <x:v>46569</x:v>
      </x:c>
      <x:c r="AY2" s="463">
        <x:v>46600</x:v>
      </x:c>
      <x:c r="AZ2" s="463">
        <x:v>46631</x:v>
      </x:c>
      <x:c r="BA2" s="463">
        <x:v>46661</x:v>
      </x:c>
      <x:c r="BB2" s="463">
        <x:v>46692</x:v>
      </x:c>
      <x:c r="BC2" s="463">
        <x:v>46722</x:v>
      </x:c>
      <x:c r="BD2" s="463">
        <x:v>46753</x:v>
      </x:c>
    </x:row>
    <x:row r="3" ht="19" customHeight="1">
      <x:c r="B3" s="509">
        <x:v>1</x:v>
      </x:c>
      <x:c r="C3" s="580">
        <x:v>77.010000000000005</x:v>
      </x:c>
      <x:c r="D3" s="580">
        <x:v>149.53</x:v>
      </x:c>
      <x:c r="E3" s="580">
        <x:v>215.09</x:v>
      </x:c>
      <x:c r="F3" s="580">
        <x:v>266.51</x:v>
      </x:c>
      <x:c r="G3" s="580">
        <x:v>520.08000000000004</x:v>
      </x:c>
      <x:c r="H3" s="580">
        <x:v>193.36</x:v>
      </x:c>
      <x:c r="I3" s="580">
        <x:v>142.61000000000001</x:v>
      </x:c>
      <x:c r="J3" s="580">
        <x:v>219.12</x:v>
      </x:c>
      <x:c r="K3" s="580">
        <x:v>159.85</x:v>
      </x:c>
      <x:c r="L3" s="580">
        <x:v>98.73</x:v>
      </x:c>
      <x:c r="M3" s="580">
        <x:v>152.11000000000001</x:v>
      </x:c>
      <x:c r="N3" s="580">
        <x:v>33.96</x:v>
      </x:c>
      <x:c r="O3" s="580">
        <x:v>43</x:v>
      </x:c>
      <x:c r="P3" s="580">
        <x:v>18.8</x:v>
      </x:c>
      <x:c r="Q3" s="580">
        <x:v>15</x:v>
      </x:c>
      <x:c r="R3" s="580">
        <x:v>243.77</x:v>
      </x:c>
      <x:c r="S3" s="580">
        <x:v>221.04</x:v>
      </x:c>
      <x:c r="T3" s="580">
        <x:v>67</x:v>
      </x:c>
      <x:c r="U3" s="580">
        <x:v>0</x:v>
      </x:c>
      <x:c r="V3" s="580">
        <x:v>0</x:v>
      </x:c>
      <x:c r="W3" s="580">
        <x:v>135</x:v>
      </x:c>
      <x:c r="X3" s="580">
        <x:v>34.5</x:v>
      </x:c>
      <x:c r="Y3" s="580">
        <x:v>128</x:v>
      </x:c>
      <x:c r="Z3" s="580">
        <x:v>5</x:v>
      </x:c>
      <x:c r="AA3" s="581">
        <x:v>44.13</x:v>
      </x:c>
      <x:c r="AB3" s="580">
        <x:v>35.5</x:v>
      </x:c>
      <x:c r="AC3" s="580">
        <x:v>174.91</x:v>
      </x:c>
      <x:c r="AD3" s="580">
        <x:v>22.18</x:v>
      </x:c>
      <x:c r="AE3" s="580">
        <x:v>0</x:v>
      </x:c>
      <x:c r="AF3" s="580">
        <x:v>150.9</x:v>
      </x:c>
      <x:c r="AG3" s="580">
        <x:v>22.7</x:v>
      </x:c>
      <x:c r="AH3" s="580">
        <x:v>69.5</x:v>
      </x:c>
      <x:c r="AI3" s="580">
        <x:v>121</x:v>
      </x:c>
      <x:c r="AJ3" s="580">
        <x:v>132.03</x:v>
      </x:c>
      <x:c r="AK3" s="580">
        <x:v>127.73</x:v>
      </x:c>
      <x:c r="AL3" s="580">
        <x:v>330.1</x:v>
      </x:c>
      <x:c r="AM3" s="580">
        <x:v>159.97999999999999</x:v>
      </x:c>
      <x:c r="AN3" s="580"/>
      <x:c r="AO3" s="580"/>
      <x:c r="AP3" s="580"/>
      <x:c r="AQ3" s="580"/>
      <x:c r="AR3" s="580"/>
      <x:c r="AS3" s="580"/>
      <x:c r="AT3" s="580"/>
      <x:c r="AU3" s="580"/>
      <x:c r="AV3" s="580"/>
      <x:c r="AW3" s="580"/>
      <x:c r="AX3" s="580"/>
      <x:c r="AY3" s="580"/>
      <x:c r="AZ3" s="580"/>
      <x:c r="BA3" s="580"/>
      <x:c r="BB3" s="580"/>
      <x:c r="BC3" s="580"/>
      <x:c r="BD3" s="582"/>
    </x:row>
    <x:row r="4" ht="19" customHeight="1">
      <x:c r="B4" s="509">
        <x:v>2</x:v>
      </x:c>
      <x:c r="C4" s="580">
        <x:v>95</x:v>
      </x:c>
      <x:c r="D4" s="580">
        <x:v>126.42</x:v>
      </x:c>
      <x:c r="E4" s="580">
        <x:v>154.11000000000001</x:v>
      </x:c>
      <x:c r="F4" s="580">
        <x:v>100.87</x:v>
      </x:c>
      <x:c r="G4" s="580">
        <x:v>251.2</x:v>
      </x:c>
      <x:c r="H4" s="580">
        <x:v>201.5</x:v>
      </x:c>
      <x:c r="I4" s="580">
        <x:v>20.5</x:v>
      </x:c>
      <x:c r="J4" s="580">
        <x:v>104</x:v>
      </x:c>
      <x:c r="K4" s="580">
        <x:v>95.41</x:v>
      </x:c>
      <x:c r="L4" s="580">
        <x:v>172.41</x:v>
      </x:c>
      <x:c r="M4" s="580">
        <x:v>163.91</x:v>
      </x:c>
      <x:c r="N4" s="580">
        <x:v>238.79</x:v>
      </x:c>
      <x:c r="O4" s="580">
        <x:v>231.97</x:v>
      </x:c>
      <x:c r="P4" s="580">
        <x:v>294.81</x:v>
      </x:c>
      <x:c r="Q4" s="580">
        <x:v>191.91</x:v>
      </x:c>
      <x:c r="R4" s="580">
        <x:v>130</x:v>
      </x:c>
      <x:c r="S4" s="580">
        <x:v>301.64999999999998</x:v>
      </x:c>
      <x:c r="T4" s="580">
        <x:v>115</x:v>
      </x:c>
      <x:c r="U4" s="580">
        <x:v>71.7</x:v>
      </x:c>
      <x:c r="V4" s="580">
        <x:v>141.91</x:v>
      </x:c>
      <x:c r="W4" s="580">
        <x:v>40</x:v>
      </x:c>
      <x:c r="X4" s="580">
        <x:v>11</x:v>
      </x:c>
      <x:c r="Y4" s="580">
        <x:v>44.82</x:v>
      </x:c>
      <x:c r="Z4" s="580">
        <x:v>6</x:v>
      </x:c>
      <x:c r="AA4" s="581">
        <x:v>27.7</x:v>
      </x:c>
      <x:c r="AB4" s="580">
        <x:v>42.91</x:v>
      </x:c>
      <x:c r="AC4" s="580">
        <x:v>132</x:v>
      </x:c>
      <x:c r="AD4" s="580">
        <x:v>115.9</x:v>
      </x:c>
      <x:c r="AE4" s="580">
        <x:v>40</x:v>
      </x:c>
      <x:c r="AF4" s="580">
        <x:v>248.5</x:v>
      </x:c>
      <x:c r="AG4" s="580">
        <x:v>120</x:v>
      </x:c>
      <x:c r="AH4" s="580">
        <x:v>161.91</x:v>
      </x:c>
      <x:c r="AI4" s="580">
        <x:v>64.91</x:v>
      </x:c>
      <x:c r="AJ4" s="580">
        <x:v>172.66</x:v>
      </x:c>
      <x:c r="AK4" s="580">
        <x:v>95.01</x:v>
      </x:c>
      <x:c r="AL4" s="580">
        <x:v>169.12</x:v>
      </x:c>
      <x:c r="AM4" s="580">
        <x:v>50.91</x:v>
      </x:c>
      <x:c r="AN4" s="580"/>
      <x:c r="AO4" s="580"/>
      <x:c r="AP4" s="580"/>
      <x:c r="AQ4" s="580"/>
      <x:c r="AR4" s="580"/>
      <x:c r="AS4" s="580"/>
      <x:c r="AT4" s="580"/>
      <x:c r="AU4" s="580"/>
      <x:c r="AV4" s="580"/>
      <x:c r="AW4" s="580"/>
      <x:c r="AX4" s="580"/>
      <x:c r="AY4" s="580"/>
      <x:c r="AZ4" s="580"/>
      <x:c r="BA4" s="580"/>
      <x:c r="BB4" s="580"/>
      <x:c r="BC4" s="580"/>
      <x:c r="BD4" s="582"/>
    </x:row>
    <x:row r="5" ht="19" customHeight="1">
      <x:c r="B5" s="509">
        <x:v>3</x:v>
      </x:c>
      <x:c r="C5" s="580">
        <x:v>212.79</x:v>
      </x:c>
      <x:c r="D5" s="580">
        <x:v>353.82</x:v>
      </x:c>
      <x:c r="E5" s="580">
        <x:v>587.91</x:v>
      </x:c>
      <x:c r="F5" s="580">
        <x:v>374.12</x:v>
      </x:c>
      <x:c r="G5" s="580">
        <x:v>645.89</x:v>
      </x:c>
      <x:c r="H5" s="580">
        <x:v>390.03</x:v>
      </x:c>
      <x:c r="I5" s="580">
        <x:v>202.47</x:v>
      </x:c>
      <x:c r="J5" s="580">
        <x:v>217.8</x:v>
      </x:c>
      <x:c r="K5" s="580">
        <x:v>625.91999999999996</x:v>
      </x:c>
      <x:c r="L5" s="580">
        <x:v>449.31</x:v>
      </x:c>
      <x:c r="M5" s="580">
        <x:v>529.88</x:v>
      </x:c>
      <x:c r="N5" s="580">
        <x:v>719.56</x:v>
      </x:c>
      <x:c r="O5" s="580">
        <x:v>285.77</x:v>
      </x:c>
      <x:c r="P5" s="580">
        <x:v>261.52999999999997</x:v>
      </x:c>
      <x:c r="Q5" s="580">
        <x:v>473.85</x:v>
      </x:c>
      <x:c r="R5" s="580">
        <x:v>519.87</x:v>
      </x:c>
      <x:c r="S5" s="580">
        <x:v>289.92</x:v>
      </x:c>
      <x:c r="T5" s="580">
        <x:v>423</x:v>
      </x:c>
      <x:c r="U5" s="580">
        <x:v>307.83999999999997</x:v>
      </x:c>
      <x:c r="V5" s="580">
        <x:v>175.41</x:v>
      </x:c>
      <x:c r="W5" s="580">
        <x:v>344.17</x:v>
      </x:c>
      <x:c r="X5" s="580">
        <x:v>158.91</x:v>
      </x:c>
      <x:c r="Y5" s="580">
        <x:v>93.6</x:v>
      </x:c>
      <x:c r="Z5" s="580">
        <x:v>38</x:v>
      </x:c>
      <x:c r="AA5" s="581">
        <x:v>39</x:v>
      </x:c>
      <x:c r="AB5" s="580">
        <x:v>92.5</x:v>
      </x:c>
      <x:c r="AC5" s="580">
        <x:v>72</x:v>
      </x:c>
      <x:c r="AD5" s="580">
        <x:v>57.2</x:v>
      </x:c>
      <x:c r="AE5" s="580">
        <x:v>105.21</x:v>
      </x:c>
      <x:c r="AF5" s="580">
        <x:v>89.08</x:v>
      </x:c>
      <x:c r="AG5" s="580">
        <x:v>23</x:v>
      </x:c>
      <x:c r="AH5" s="580">
        <x:v>43.3</x:v>
      </x:c>
      <x:c r="AI5" s="580">
        <x:v>13</x:v>
      </x:c>
      <x:c r="AJ5" s="580">
        <x:v>49</x:v>
      </x:c>
      <x:c r="AK5" s="580">
        <x:v>14</x:v>
      </x:c>
      <x:c r="AL5" s="580">
        <x:v>15</x:v>
      </x:c>
      <x:c r="AM5" s="580">
        <x:v>46</x:v>
      </x:c>
      <x:c r="AN5" s="580"/>
      <x:c r="AO5" s="580"/>
      <x:c r="AP5" s="580"/>
      <x:c r="AQ5" s="580"/>
      <x:c r="AR5" s="580"/>
      <x:c r="AS5" s="580"/>
      <x:c r="AT5" s="580"/>
      <x:c r="AU5" s="580"/>
      <x:c r="AV5" s="580"/>
      <x:c r="AW5" s="580"/>
      <x:c r="AX5" s="580"/>
      <x:c r="AY5" s="580"/>
      <x:c r="AZ5" s="580"/>
      <x:c r="BA5" s="580"/>
      <x:c r="BB5" s="580"/>
      <x:c r="BC5" s="580"/>
      <x:c r="BD5" s="582"/>
    </x:row>
    <x:row r="6" ht="19" customHeight="1">
      <x:c r="B6" s="509">
        <x:v>5</x:v>
      </x:c>
      <x:c r="C6" s="580">
        <x:v>255.73</x:v>
      </x:c>
      <x:c r="D6" s="580">
        <x:v>343.44</x:v>
      </x:c>
      <x:c r="E6" s="580">
        <x:v>211.3</x:v>
      </x:c>
      <x:c r="F6" s="580">
        <x:v>523.07000000000005</x:v>
      </x:c>
      <x:c r="G6" s="580">
        <x:v>979.67</x:v>
      </x:c>
      <x:c r="H6" s="580">
        <x:v>316.58</x:v>
      </x:c>
      <x:c r="I6" s="580">
        <x:v>572.52</x:v>
      </x:c>
      <x:c r="J6" s="580">
        <x:v>270.39999999999998</x:v>
      </x:c>
      <x:c r="K6" s="580">
        <x:v>241.63</x:v>
      </x:c>
      <x:c r="L6" s="580">
        <x:v>91.9</x:v>
      </x:c>
      <x:c r="M6" s="580">
        <x:v>140.99</x:v>
      </x:c>
      <x:c r="N6" s="580">
        <x:v>80.400000000000006</x:v>
      </x:c>
      <x:c r="O6" s="580">
        <x:v>112.98</x:v>
      </x:c>
      <x:c r="P6" s="580">
        <x:v>250.88</x:v>
      </x:c>
      <x:c r="Q6" s="580">
        <x:v>201.54</x:v>
      </x:c>
      <x:c r="R6" s="580">
        <x:v>54.09</x:v>
      </x:c>
      <x:c r="S6" s="580">
        <x:v>110</x:v>
      </x:c>
      <x:c r="T6" s="580">
        <x:v>142.41</x:v>
      </x:c>
      <x:c r="U6" s="580">
        <x:v>207</x:v>
      </x:c>
      <x:c r="V6" s="580">
        <x:v>116</x:v>
      </x:c>
      <x:c r="W6" s="580">
        <x:v>80.95</x:v>
      </x:c>
      <x:c r="X6" s="580">
        <x:v>22</x:v>
      </x:c>
      <x:c r="Y6" s="580">
        <x:v>281.55</x:v>
      </x:c>
      <x:c r="Z6" s="580">
        <x:v>124.91</x:v>
      </x:c>
      <x:c r="AA6" s="581">
        <x:v>109.41</x:v>
      </x:c>
      <x:c r="AB6" s="580">
        <x:v>72</x:v>
      </x:c>
      <x:c r="AC6" s="580">
        <x:v>399.91</x:v>
      </x:c>
      <x:c r="AD6" s="580">
        <x:v>316.32</x:v>
      </x:c>
      <x:c r="AE6" s="580">
        <x:v>181</x:v>
      </x:c>
      <x:c r="AF6" s="580">
        <x:v>202</x:v>
      </x:c>
      <x:c r="AG6" s="580">
        <x:v>135.87</x:v>
      </x:c>
      <x:c r="AH6" s="580">
        <x:v>62</x:v>
      </x:c>
      <x:c r="AI6" s="580">
        <x:v>145</x:v>
      </x:c>
      <x:c r="AJ6" s="580">
        <x:v>103.91</x:v>
      </x:c>
      <x:c r="AK6" s="580">
        <x:v>101.6</x:v>
      </x:c>
      <x:c r="AL6" s="580">
        <x:v>124.91</x:v>
      </x:c>
      <x:c r="AM6" s="580">
        <x:v>5</x:v>
      </x:c>
      <x:c r="AN6" s="580"/>
      <x:c r="AO6" s="580"/>
      <x:c r="AP6" s="580"/>
      <x:c r="AQ6" s="580"/>
      <x:c r="AR6" s="580"/>
      <x:c r="AS6" s="580"/>
      <x:c r="AT6" s="580"/>
      <x:c r="AU6" s="580"/>
      <x:c r="AV6" s="580"/>
      <x:c r="AW6" s="580"/>
      <x:c r="AX6" s="580"/>
      <x:c r="AY6" s="580"/>
      <x:c r="AZ6" s="580"/>
      <x:c r="BA6" s="580"/>
      <x:c r="BB6" s="580"/>
      <x:c r="BC6" s="580"/>
      <x:c r="BD6" s="582"/>
    </x:row>
    <x:row r="7" ht="19" customHeight="1">
      <x:c r="A7" s="21"/>
      <x:c r="B7" s="509">
        <x:v>6</x:v>
      </x:c>
      <x:c r="C7" s="580">
        <x:v>257.13</x:v>
      </x:c>
      <x:c r="D7" s="580">
        <x:v>209.09</x:v>
      </x:c>
      <x:c r="E7" s="580">
        <x:v>213.2</x:v>
      </x:c>
      <x:c r="F7" s="580">
        <x:v>261.39</x:v>
      </x:c>
      <x:c r="G7" s="580">
        <x:v>273.95999999999998</x:v>
      </x:c>
      <x:c r="H7" s="580">
        <x:v>230.59</x:v>
      </x:c>
      <x:c r="I7" s="580">
        <x:v>150</x:v>
      </x:c>
      <x:c r="J7" s="580">
        <x:v>459.55</x:v>
      </x:c>
      <x:c r="K7" s="580">
        <x:v>150.29</x:v>
      </x:c>
      <x:c r="L7" s="580">
        <x:v>152.69999999999999</x:v>
      </x:c>
      <x:c r="M7" s="580">
        <x:v>258.82</x:v>
      </x:c>
      <x:c r="N7" s="580">
        <x:v>89.7</x:v>
      </x:c>
      <x:c r="O7" s="580">
        <x:v>115.69</x:v>
      </x:c>
      <x:c r="P7" s="580">
        <x:v>183</x:v>
      </x:c>
      <x:c r="Q7" s="580">
        <x:v>259.38</x:v>
      </x:c>
      <x:c r="R7" s="580">
        <x:v>293.22000000000003</x:v>
      </x:c>
      <x:c r="S7" s="580">
        <x:v>417.93</x:v>
      </x:c>
      <x:c r="T7" s="580">
        <x:v>413.1</x:v>
      </x:c>
      <x:c r="U7" s="580">
        <x:v>84</x:v>
      </x:c>
      <x:c r="V7" s="580">
        <x:v>113</x:v>
      </x:c>
      <x:c r="W7" s="580">
        <x:v>209.91</x:v>
      </x:c>
      <x:c r="X7" s="580">
        <x:v>161.5</x:v>
      </x:c>
      <x:c r="Y7" s="580">
        <x:v>59.3</x:v>
      </x:c>
      <x:c r="Z7" s="580">
        <x:v>108.96</x:v>
      </x:c>
      <x:c r="AA7" s="581">
        <x:v>120.61</x:v>
      </x:c>
      <x:c r="AB7" s="580">
        <x:v>284.89999999999998</x:v>
      </x:c>
      <x:c r="AC7" s="580">
        <x:v>526.72</x:v>
      </x:c>
      <x:c r="AD7" s="580">
        <x:v>476.22</x:v>
      </x:c>
      <x:c r="AE7" s="580">
        <x:v>445.91</x:v>
      </x:c>
      <x:c r="AF7" s="580">
        <x:v>220.63</x:v>
      </x:c>
      <x:c r="AG7" s="580">
        <x:v>141.03</x:v>
      </x:c>
      <x:c r="AH7" s="580">
        <x:v>156.52000000000001</x:v>
      </x:c>
      <x:c r="AI7" s="580">
        <x:v>229.22</x:v>
      </x:c>
      <x:c r="AJ7" s="580">
        <x:v>391.99</x:v>
      </x:c>
      <x:c r="AK7" s="580">
        <x:v>322.8</x:v>
      </x:c>
      <x:c r="AL7" s="580">
        <x:v>519</x:v>
      </x:c>
      <x:c r="AM7" s="580">
        <x:v>148.82</x:v>
      </x:c>
      <x:c r="AN7" s="580"/>
      <x:c r="AO7" s="580"/>
      <x:c r="AP7" s="580"/>
      <x:c r="AQ7" s="580"/>
      <x:c r="AR7" s="580"/>
      <x:c r="AS7" s="580"/>
      <x:c r="AT7" s="580"/>
      <x:c r="AU7" s="580"/>
      <x:c r="AV7" s="580"/>
      <x:c r="AW7" s="580"/>
      <x:c r="AX7" s="580"/>
      <x:c r="AY7" s="580"/>
      <x:c r="AZ7" s="580"/>
      <x:c r="BA7" s="580"/>
      <x:c r="BB7" s="580"/>
      <x:c r="BC7" s="580"/>
      <x:c r="BD7" s="582"/>
    </x:row>
    <x:row r="8" ht="19" customHeight="1">
      <x:c r="B8" s="509">
        <x:v>7</x:v>
      </x:c>
      <x:c r="C8" s="580">
        <x:v>72.52</x:v>
      </x:c>
      <x:c r="D8" s="580">
        <x:v>105.4</x:v>
      </x:c>
      <x:c r="E8" s="580">
        <x:v>81.900000000000006</x:v>
      </x:c>
      <x:c r="F8" s="580">
        <x:v>94.81</x:v>
      </x:c>
      <x:c r="G8" s="580">
        <x:v>94.5</x:v>
      </x:c>
      <x:c r="H8" s="580">
        <x:v>137.9</x:v>
      </x:c>
      <x:c r="I8" s="580">
        <x:v>56.79</x:v>
      </x:c>
      <x:c r="J8" s="580">
        <x:v>229.5</x:v>
      </x:c>
      <x:c r="K8" s="580">
        <x:v>97.36</x:v>
      </x:c>
      <x:c r="L8" s="580">
        <x:v>206.97</x:v>
      </x:c>
      <x:c r="M8" s="580">
        <x:v>184.11</x:v>
      </x:c>
      <x:c r="N8" s="580">
        <x:v>128.91</x:v>
      </x:c>
      <x:c r="O8" s="580">
        <x:v>267.39999999999998</x:v>
      </x:c>
      <x:c r="P8" s="580">
        <x:v>253.8</x:v>
      </x:c>
      <x:c r="Q8" s="580">
        <x:v>351.22</x:v>
      </x:c>
      <x:c r="R8" s="580">
        <x:v>346.77</x:v>
      </x:c>
      <x:c r="S8" s="580">
        <x:v>462.2</x:v>
      </x:c>
      <x:c r="T8" s="580">
        <x:v>368.83</x:v>
      </x:c>
      <x:c r="U8" s="580">
        <x:v>521.26</x:v>
      </x:c>
      <x:c r="V8" s="580">
        <x:v>252.32</x:v>
      </x:c>
      <x:c r="W8" s="580">
        <x:v>196.91</x:v>
      </x:c>
      <x:c r="X8" s="580">
        <x:v>282.13</x:v>
      </x:c>
      <x:c r="Y8" s="580">
        <x:v>96.91</x:v>
      </x:c>
      <x:c r="Z8" s="580">
        <x:v>186.59</x:v>
      </x:c>
      <x:c r="AA8" s="581">
        <x:v>232.55</x:v>
      </x:c>
      <x:c r="AB8" s="580">
        <x:v>277.48</x:v>
      </x:c>
      <x:c r="AC8" s="580">
        <x:v>532.20000000000005</x:v>
      </x:c>
      <x:c r="AD8" s="580">
        <x:v>182.28</x:v>
      </x:c>
      <x:c r="AE8" s="580">
        <x:v>320.52</x:v>
      </x:c>
      <x:c r="AF8" s="580">
        <x:v>167</x:v>
      </x:c>
      <x:c r="AG8" s="580">
        <x:v>19</x:v>
      </x:c>
      <x:c r="AH8" s="580">
        <x:v>152.61000000000001</x:v>
      </x:c>
      <x:c r="AI8" s="580">
        <x:v>233.1</x:v>
      </x:c>
      <x:c r="AJ8" s="580">
        <x:v>319.58</x:v>
      </x:c>
      <x:c r="AK8" s="580">
        <x:v>210.76</x:v>
      </x:c>
      <x:c r="AL8" s="580">
        <x:v>155.56</x:v>
      </x:c>
      <x:c r="AM8" s="580">
        <x:v>101.62</x:v>
      </x:c>
      <x:c r="AN8" s="580"/>
      <x:c r="AO8" s="580"/>
      <x:c r="AP8" s="580"/>
      <x:c r="AQ8" s="580"/>
      <x:c r="AR8" s="580"/>
      <x:c r="AS8" s="580"/>
      <x:c r="AT8" s="580"/>
      <x:c r="AU8" s="580"/>
      <x:c r="AV8" s="580"/>
      <x:c r="AW8" s="580"/>
      <x:c r="AX8" s="580"/>
      <x:c r="AY8" s="580"/>
      <x:c r="AZ8" s="580"/>
      <x:c r="BA8" s="580"/>
      <x:c r="BB8" s="580"/>
      <x:c r="BC8" s="580"/>
      <x:c r="BD8" s="582"/>
    </x:row>
    <x:row r="9" ht="19" customHeight="1">
      <x:c r="B9" s="509">
        <x:v>8</x:v>
      </x:c>
      <x:c r="C9" s="580">
        <x:v>267.23</x:v>
      </x:c>
      <x:c r="D9" s="580">
        <x:v>263.5</x:v>
      </x:c>
      <x:c r="E9" s="580">
        <x:v>545.88</x:v>
      </x:c>
      <x:c r="F9" s="580">
        <x:v>768.91</x:v>
      </x:c>
      <x:c r="G9" s="580">
        <x:v>569.85</x:v>
      </x:c>
      <x:c r="H9" s="580">
        <x:v>399.86</x:v>
      </x:c>
      <x:c r="I9" s="580">
        <x:v>284.56</x:v>
      </x:c>
      <x:c r="J9" s="580">
        <x:v>319.95</x:v>
      </x:c>
      <x:c r="K9" s="580">
        <x:v>573</x:v>
      </x:c>
      <x:c r="L9" s="580">
        <x:v>391.32</x:v>
      </x:c>
      <x:c r="M9" s="580">
        <x:v>314.43</x:v>
      </x:c>
      <x:c r="N9" s="580">
        <x:v>234.1</x:v>
      </x:c>
      <x:c r="O9" s="580">
        <x:v>82.9</x:v>
      </x:c>
      <x:c r="P9" s="580">
        <x:v>368.33</x:v>
      </x:c>
      <x:c r="Q9" s="580">
        <x:v>330.9</x:v>
      </x:c>
      <x:c r="R9" s="580">
        <x:v>417.5</x:v>
      </x:c>
      <x:c r="S9" s="580">
        <x:v>361.81</x:v>
      </x:c>
      <x:c r="T9" s="580">
        <x:v>316.27</x:v>
      </x:c>
      <x:c r="U9" s="580">
        <x:v>384.81</x:v>
      </x:c>
      <x:c r="V9" s="580">
        <x:v>258.91000000000003</x:v>
      </x:c>
      <x:c r="W9" s="580">
        <x:v>225.96</x:v>
      </x:c>
      <x:c r="X9" s="580">
        <x:v>297.32</x:v>
      </x:c>
      <x:c r="Y9" s="580">
        <x:v>291.31</x:v>
      </x:c>
      <x:c r="Z9" s="580">
        <x:v>274.64</x:v>
      </x:c>
      <x:c r="AA9" s="581">
        <x:v>234.42</x:v>
      </x:c>
      <x:c r="AB9" s="580">
        <x:v>341.21</x:v>
      </x:c>
      <x:c r="AC9" s="580">
        <x:v>662.98</x:v>
      </x:c>
      <x:c r="AD9" s="580">
        <x:v>602.94000000000005</x:v>
      </x:c>
      <x:c r="AE9" s="580">
        <x:v>569.71</x:v>
      </x:c>
      <x:c r="AF9" s="580">
        <x:v>494.65</x:v>
      </x:c>
      <x:c r="AG9" s="580">
        <x:v>298.97000000000003</x:v>
      </x:c>
      <x:c r="AH9" s="580">
        <x:v>298.39999999999998</x:v>
      </x:c>
      <x:c r="AI9" s="580">
        <x:v>990.67</x:v>
      </x:c>
      <x:c r="AJ9" s="580">
        <x:v>660.72</x:v>
      </x:c>
      <x:c r="AK9" s="580">
        <x:v>570</x:v>
      </x:c>
      <x:c r="AL9" s="580">
        <x:v>956.68</x:v>
      </x:c>
      <x:c r="AM9" s="580">
        <x:v>762.32</x:v>
      </x:c>
      <x:c r="AN9" s="580"/>
      <x:c r="AO9" s="580"/>
      <x:c r="AP9" s="580"/>
      <x:c r="AQ9" s="580"/>
      <x:c r="AR9" s="580"/>
      <x:c r="AS9" s="580"/>
      <x:c r="AT9" s="580"/>
      <x:c r="AU9" s="580"/>
      <x:c r="AV9" s="580"/>
      <x:c r="AW9" s="580"/>
      <x:c r="AX9" s="580"/>
      <x:c r="AY9" s="580"/>
      <x:c r="AZ9" s="580"/>
      <x:c r="BA9" s="580"/>
      <x:c r="BB9" s="580"/>
      <x:c r="BC9" s="580"/>
      <x:c r="BD9" s="582"/>
    </x:row>
    <x:row r="10" ht="19" customHeight="1">
      <x:c r="B10" s="509">
        <x:v>9</x:v>
      </x:c>
      <x:c r="C10" s="580">
        <x:v>571.05999999999995</x:v>
      </x:c>
      <x:c r="D10" s="580">
        <x:v>647.96</x:v>
      </x:c>
      <x:c r="E10" s="580">
        <x:v>873.71</x:v>
      </x:c>
      <x:c r="F10" s="580">
        <x:v>533.47</x:v>
      </x:c>
      <x:c r="G10" s="580">
        <x:v>1391.04</x:v>
      </x:c>
      <x:c r="H10" s="580">
        <x:v>581.79</x:v>
      </x:c>
      <x:c r="I10" s="580">
        <x:v>482.01</x:v>
      </x:c>
      <x:c r="J10" s="580">
        <x:v>477.63</x:v>
      </x:c>
      <x:c r="K10" s="580">
        <x:v>346.57</x:v>
      </x:c>
      <x:c r="L10" s="580">
        <x:v>163.91</x:v>
      </x:c>
      <x:c r="M10" s="580">
        <x:v>381.82</x:v>
      </x:c>
      <x:c r="N10" s="580">
        <x:v>660.08</x:v>
      </x:c>
      <x:c r="O10" s="580">
        <x:v>794.04</x:v>
      </x:c>
      <x:c r="P10" s="580">
        <x:v>1092.21</x:v>
      </x:c>
      <x:c r="Q10" s="580">
        <x:v>1576.93</x:v>
      </x:c>
      <x:c r="R10" s="580">
        <x:v>1388.83</x:v>
      </x:c>
      <x:c r="S10" s="580">
        <x:v>1965.97</x:v>
      </x:c>
      <x:c r="T10" s="580">
        <x:v>122.79</x:v>
      </x:c>
      <x:c r="U10" s="580">
        <x:v>745.54</x:v>
      </x:c>
      <x:c r="V10" s="580">
        <x:v>547.54999999999995</x:v>
      </x:c>
      <x:c r="W10" s="580">
        <x:v>691.99</x:v>
      </x:c>
      <x:c r="X10" s="580">
        <x:v>464.05</x:v>
      </x:c>
      <x:c r="Y10" s="580">
        <x:v>423.57</x:v>
      </x:c>
      <x:c r="Z10" s="580">
        <x:v>146</x:v>
      </x:c>
      <x:c r="AA10" s="581">
        <x:v>282.5</x:v>
      </x:c>
      <x:c r="AB10" s="580">
        <x:v>832.51</x:v>
      </x:c>
      <x:c r="AC10" s="580">
        <x:v>654.82000000000005</x:v>
      </x:c>
      <x:c r="AD10" s="580">
        <x:v>98</x:v>
      </x:c>
      <x:c r="AE10" s="580">
        <x:v>66</x:v>
      </x:c>
      <x:c r="AF10" s="580">
        <x:v>199.82</x:v>
      </x:c>
      <x:c r="AG10" s="580">
        <x:v>255.64</x:v>
      </x:c>
      <x:c r="AH10" s="580">
        <x:v>87</x:v>
      </x:c>
      <x:c r="AI10" s="580">
        <x:v>246.43</x:v>
      </x:c>
      <x:c r="AJ10" s="580">
        <x:v>499.99</x:v>
      </x:c>
      <x:c r="AK10" s="580">
        <x:v>532.52</x:v>
      </x:c>
      <x:c r="AL10" s="580">
        <x:v>1091.55</x:v>
      </x:c>
      <x:c r="AM10" s="580">
        <x:v>1956.22</x:v>
      </x:c>
      <x:c r="AN10" s="580"/>
      <x:c r="AO10" s="580"/>
      <x:c r="AP10" s="580"/>
      <x:c r="AQ10" s="580"/>
      <x:c r="AR10" s="580"/>
      <x:c r="AS10" s="580"/>
      <x:c r="AT10" s="580"/>
      <x:c r="AU10" s="580"/>
      <x:c r="AV10" s="580"/>
      <x:c r="AW10" s="580"/>
      <x:c r="AX10" s="580"/>
      <x:c r="AY10" s="580"/>
      <x:c r="AZ10" s="580"/>
      <x:c r="BA10" s="580"/>
      <x:c r="BB10" s="580"/>
      <x:c r="BC10" s="580"/>
      <x:c r="BD10" s="582"/>
    </x:row>
    <x:row r="11" ht="19" customHeight="1">
      <x:c r="B11" s="509">
        <x:v>10</x:v>
      </x:c>
      <x:c r="C11" s="580">
        <x:v>55</x:v>
      </x:c>
      <x:c r="D11" s="580">
        <x:v>45</x:v>
      </x:c>
      <x:c r="E11" s="580">
        <x:v>120</x:v>
      </x:c>
      <x:c r="F11" s="580">
        <x:v>103.19</x:v>
      </x:c>
      <x:c r="G11" s="580">
        <x:v>130.53</x:v>
      </x:c>
      <x:c r="H11" s="580">
        <x:v>129.51</x:v>
      </x:c>
      <x:c r="I11" s="580">
        <x:v>75.5</x:v>
      </x:c>
      <x:c r="J11" s="580">
        <x:v>173.16</x:v>
      </x:c>
      <x:c r="K11" s="580">
        <x:v>131</x:v>
      </x:c>
      <x:c r="L11" s="580">
        <x:v>163.47999999999999</x:v>
      </x:c>
      <x:c r="M11" s="580">
        <x:v>192.7</x:v>
      </x:c>
      <x:c r="N11" s="580">
        <x:v>271.07</x:v>
      </x:c>
      <x:c r="O11" s="580">
        <x:v>267.02</x:v>
      </x:c>
      <x:c r="P11" s="580">
        <x:v>277.58</x:v>
      </x:c>
      <x:c r="Q11" s="580">
        <x:v>436</x:v>
      </x:c>
      <x:c r="R11" s="580">
        <x:v>141.91</x:v>
      </x:c>
      <x:c r="S11" s="580">
        <x:v>291.83</x:v>
      </x:c>
      <x:c r="T11" s="580">
        <x:v>244.82</x:v>
      </x:c>
      <x:c r="U11" s="580">
        <x:v>113.5</x:v>
      </x:c>
      <x:c r="V11" s="580">
        <x:v>27.91</x:v>
      </x:c>
      <x:c r="W11" s="580">
        <x:v>74.41</x:v>
      </x:c>
      <x:c r="X11" s="580">
        <x:v>16.91</x:v>
      </x:c>
      <x:c r="Y11" s="580">
        <x:v>1</x:v>
      </x:c>
      <x:c r="Z11" s="580">
        <x:v>48.91</x:v>
      </x:c>
      <x:c r="AA11" s="581">
        <x:v>29</x:v>
      </x:c>
      <x:c r="AB11" s="580">
        <x:v>26.4</x:v>
      </x:c>
      <x:c r="AC11" s="580">
        <x:v>59.3</x:v>
      </x:c>
      <x:c r="AD11" s="580">
        <x:v>31</x:v>
      </x:c>
      <x:c r="AE11" s="580">
        <x:v>32</x:v>
      </x:c>
      <x:c r="AF11" s="580">
        <x:v>23.91</x:v>
      </x:c>
      <x:c r="AG11" s="580">
        <x:v>5</x:v>
      </x:c>
      <x:c r="AH11" s="580">
        <x:v>12.5</x:v>
      </x:c>
      <x:c r="AI11" s="580">
        <x:v>19</x:v>
      </x:c>
      <x:c r="AJ11" s="580">
        <x:v>31</x:v>
      </x:c>
      <x:c r="AK11" s="583"/>
      <x:c r="AL11" s="580">
        <x:v>26</x:v>
      </x:c>
      <x:c r="AM11" s="580">
        <x:v>11</x:v>
      </x:c>
      <x:c r="AN11" s="580"/>
      <x:c r="AO11" s="580"/>
      <x:c r="AP11" s="580"/>
      <x:c r="AQ11" s="580"/>
      <x:c r="AR11" s="580"/>
      <x:c r="AS11" s="580"/>
      <x:c r="AT11" s="580"/>
      <x:c r="AU11" s="580"/>
      <x:c r="AV11" s="580"/>
      <x:c r="AW11" s="580"/>
      <x:c r="AX11" s="580"/>
      <x:c r="AY11" s="580"/>
      <x:c r="AZ11" s="580"/>
      <x:c r="BA11" s="580"/>
      <x:c r="BB11" s="580"/>
      <x:c r="BC11" s="580"/>
      <x:c r="BD11" s="582"/>
    </x:row>
    <x:row r="12" ht="19" customHeight="1">
      <x:c r="B12" s="509">
        <x:v>11</x:v>
      </x:c>
      <x:c r="C12" s="580">
        <x:v>388.24</x:v>
      </x:c>
      <x:c r="D12" s="580">
        <x:v>375.32</x:v>
      </x:c>
      <x:c r="E12" s="580">
        <x:v>485.11</x:v>
      </x:c>
      <x:c r="F12" s="580">
        <x:v>659.9</x:v>
      </x:c>
      <x:c r="G12" s="580">
        <x:v>725.06</x:v>
      </x:c>
      <x:c r="H12" s="580">
        <x:v>787.81</x:v>
      </x:c>
      <x:c r="I12" s="580">
        <x:v>613.23</x:v>
      </x:c>
      <x:c r="J12" s="580">
        <x:v>348.3</x:v>
      </x:c>
      <x:c r="K12" s="580">
        <x:v>300.27999999999997</x:v>
      </x:c>
      <x:c r="L12" s="580">
        <x:v>655.08000000000004</x:v>
      </x:c>
      <x:c r="M12" s="580">
        <x:v>963.16</x:v>
      </x:c>
      <x:c r="N12" s="580">
        <x:v>849.78</x:v>
      </x:c>
      <x:c r="O12" s="580">
        <x:v>796.08</x:v>
      </x:c>
      <x:c r="P12" s="580">
        <x:v>1617.9</x:v>
      </x:c>
      <x:c r="Q12" s="580">
        <x:v>1428.5</x:v>
      </x:c>
      <x:c r="R12" s="580">
        <x:v>1018.12</x:v>
      </x:c>
      <x:c r="S12" s="580">
        <x:v>553.6</x:v>
      </x:c>
      <x:c r="T12" s="580">
        <x:v>303.39999999999998</x:v>
      </x:c>
      <x:c r="U12" s="580">
        <x:v>37.909999999999997</x:v>
      </x:c>
      <x:c r="V12" s="580">
        <x:v>105.09</x:v>
      </x:c>
      <x:c r="W12" s="580">
        <x:v>248.41</x:v>
      </x:c>
      <x:c r="X12" s="580">
        <x:v>117</x:v>
      </x:c>
      <x:c r="Y12" s="580">
        <x:v>105</x:v>
      </x:c>
      <x:c r="Z12" s="580">
        <x:v>203.73</x:v>
      </x:c>
      <x:c r="AA12" s="581">
        <x:v>266.82</x:v>
      </x:c>
      <x:c r="AB12" s="580">
        <x:v>65.900000000000006</x:v>
      </x:c>
      <x:c r="AC12" s="580">
        <x:v>282.27999999999997</x:v>
      </x:c>
      <x:c r="AD12" s="580">
        <x:v>68.5</x:v>
      </x:c>
      <x:c r="AE12" s="580">
        <x:v>19</x:v>
      </x:c>
      <x:c r="AF12" s="580">
        <x:v>1.49</x:v>
      </x:c>
      <x:c r="AG12" s="580">
        <x:v>40</x:v>
      </x:c>
      <x:c r="AH12" s="580">
        <x:v>33.909999999999997</x:v>
      </x:c>
      <x:c r="AI12" s="580">
        <x:v>17.91</x:v>
      </x:c>
      <x:c r="AJ12" s="580">
        <x:v>42</x:v>
      </x:c>
      <x:c r="AK12" s="580">
        <x:v>22.5</x:v>
      </x:c>
      <x:c r="AL12" s="580">
        <x:v>113.82</x:v>
      </x:c>
      <x:c r="AM12" s="580">
        <x:v>77</x:v>
      </x:c>
      <x:c r="AN12" s="580"/>
      <x:c r="AO12" s="580"/>
      <x:c r="AP12" s="580"/>
      <x:c r="AQ12" s="580"/>
      <x:c r="AR12" s="580"/>
      <x:c r="AS12" s="580"/>
      <x:c r="AT12" s="580"/>
      <x:c r="AU12" s="580"/>
      <x:c r="AV12" s="580"/>
      <x:c r="AW12" s="580"/>
      <x:c r="AX12" s="580"/>
      <x:c r="AY12" s="580"/>
      <x:c r="AZ12" s="580"/>
      <x:c r="BA12" s="580"/>
      <x:c r="BB12" s="580"/>
      <x:c r="BC12" s="580"/>
      <x:c r="BD12" s="582"/>
    </x:row>
    <x:row r="13" ht="19" customHeight="1">
      <x:c r="B13" s="509">
        <x:v>12</x:v>
      </x:c>
      <x:c r="C13" s="580">
        <x:v>202</x:v>
      </x:c>
      <x:c r="D13" s="580">
        <x:v>193.59</x:v>
      </x:c>
      <x:c r="E13" s="580">
        <x:v>435.7</x:v>
      </x:c>
      <x:c r="F13" s="580">
        <x:v>411.5</x:v>
      </x:c>
      <x:c r="G13" s="580">
        <x:v>146.6</x:v>
      </x:c>
      <x:c r="H13" s="580">
        <x:v>206</x:v>
      </x:c>
      <x:c r="I13" s="580">
        <x:v>321.91000000000003</x:v>
      </x:c>
      <x:c r="J13" s="580">
        <x:v>206.92</x:v>
      </x:c>
      <x:c r="K13" s="580">
        <x:v>143.74</x:v>
      </x:c>
      <x:c r="L13" s="580">
        <x:v>206.4</x:v>
      </x:c>
      <x:c r="M13" s="580">
        <x:v>59.3</x:v>
      </x:c>
      <x:c r="N13" s="580">
        <x:v>8.5</x:v>
      </x:c>
      <x:c r="O13" s="580">
        <x:v>41</x:v>
      </x:c>
      <x:c r="P13" s="580">
        <x:v>60.6</x:v>
      </x:c>
      <x:c r="Q13" s="580">
        <x:v>120.6</x:v>
      </x:c>
      <x:c r="R13" s="580">
        <x:v>6</x:v>
      </x:c>
      <x:c r="S13" s="580">
        <x:v>168.21</x:v>
      </x:c>
      <x:c r="T13" s="580">
        <x:v>112.99</x:v>
      </x:c>
      <x:c r="U13" s="580">
        <x:v>17</x:v>
      </x:c>
      <x:c r="V13" s="580">
        <x:v>20.41</x:v>
      </x:c>
      <x:c r="W13" s="580">
        <x:v>13.5</x:v>
      </x:c>
      <x:c r="X13" s="580">
        <x:v>30.2</x:v>
      </x:c>
      <x:c r="Y13" s="580">
        <x:v>67.41</x:v>
      </x:c>
      <x:c r="Z13" s="580">
        <x:v>250</x:v>
      </x:c>
      <x:c r="AA13" s="581">
        <x:v>0</x:v>
      </x:c>
      <x:c r="AB13" s="580">
        <x:v>53.91</x:v>
      </x:c>
      <x:c r="AC13" s="580">
        <x:v>73</x:v>
      </x:c>
      <x:c r="AD13" s="580">
        <x:v>74</x:v>
      </x:c>
      <x:c r="AE13" s="580">
        <x:v>98</x:v>
      </x:c>
      <x:c r="AF13" s="580">
        <x:v>31</x:v>
      </x:c>
      <x:c r="AG13" s="580">
        <x:v>49</x:v>
      </x:c>
      <x:c r="AH13" s="580">
        <x:v>8</x:v>
      </x:c>
      <x:c r="AI13" s="580">
        <x:v>37</x:v>
      </x:c>
      <x:c r="AJ13" s="580">
        <x:v>97.91</x:v>
      </x:c>
      <x:c r="AK13" s="580">
        <x:v>50</x:v>
      </x:c>
      <x:c r="AL13" s="583">
        <x:v>0</x:v>
      </x:c>
      <x:c r="AM13" s="580">
        <x:v>268.82</x:v>
      </x:c>
      <x:c r="AN13" s="580"/>
      <x:c r="AO13" s="580"/>
      <x:c r="AP13" s="580"/>
      <x:c r="AQ13" s="580"/>
      <x:c r="AR13" s="580"/>
      <x:c r="AS13" s="580"/>
      <x:c r="AT13" s="580"/>
      <x:c r="AU13" s="580"/>
      <x:c r="AV13" s="580"/>
      <x:c r="AW13" s="580"/>
      <x:c r="AX13" s="580"/>
      <x:c r="AY13" s="580"/>
      <x:c r="AZ13" s="580"/>
      <x:c r="BA13" s="580"/>
      <x:c r="BB13" s="580"/>
      <x:c r="BC13" s="580"/>
      <x:c r="BD13" s="582"/>
    </x:row>
    <x:row r="14" ht="19" customHeight="1">
      <x:c r="B14" s="509">
        <x:v>13</x:v>
      </x:c>
      <x:c r="C14" s="580">
        <x:v>63.73</x:v>
      </x:c>
      <x:c r="D14" s="580">
        <x:v>91.48</x:v>
      </x:c>
      <x:c r="E14" s="580">
        <x:v>202.47</x:v>
      </x:c>
      <x:c r="F14" s="580">
        <x:v>89.3</x:v>
      </x:c>
      <x:c r="G14" s="580">
        <x:v>227</x:v>
      </x:c>
      <x:c r="H14" s="580">
        <x:v>187.89</x:v>
      </x:c>
      <x:c r="I14" s="580">
        <x:v>48.91</x:v>
      </x:c>
      <x:c r="J14" s="580">
        <x:v>126.9</x:v>
      </x:c>
      <x:c r="K14" s="580">
        <x:v>105.49</x:v>
      </x:c>
      <x:c r="L14" s="580">
        <x:v>21.08</x:v>
      </x:c>
      <x:c r="M14" s="580">
        <x:v>23</x:v>
      </x:c>
      <x:c r="N14" s="580">
        <x:v>40.5</x:v>
      </x:c>
      <x:c r="O14" s="580">
        <x:v>59</x:v>
      </x:c>
      <x:c r="P14" s="580">
        <x:v>13.09</x:v>
      </x:c>
      <x:c r="Q14" s="580">
        <x:v>27</x:v>
      </x:c>
      <x:c r="R14" s="580">
        <x:v>77.91</x:v>
      </x:c>
      <x:c r="S14" s="580">
        <x:v>73.5</x:v>
      </x:c>
      <x:c r="T14" s="580">
        <x:v>48</x:v>
      </x:c>
      <x:c r="U14" s="580">
        <x:v>41</x:v>
      </x:c>
      <x:c r="V14" s="580">
        <x:v>47</x:v>
      </x:c>
      <x:c r="W14" s="580">
        <x:v>19.5</x:v>
      </x:c>
      <x:c r="X14" s="580">
        <x:v>2</x:v>
      </x:c>
      <x:c r="Y14" s="580">
        <x:v>17.600000000000001</x:v>
      </x:c>
      <x:c r="Z14" s="580">
        <x:v>4.5</x:v>
      </x:c>
      <x:c r="AA14" s="581">
        <x:v>53</x:v>
      </x:c>
      <x:c r="AB14" s="580">
        <x:v>91.31</x:v>
      </x:c>
      <x:c r="AC14" s="580">
        <x:v>144.55000000000001</x:v>
      </x:c>
      <x:c r="AD14" s="580">
        <x:v>174.54</x:v>
      </x:c>
      <x:c r="AE14" s="580">
        <x:v>157.99</x:v>
      </x:c>
      <x:c r="AF14" s="580">
        <x:v>137.1</x:v>
      </x:c>
      <x:c r="AG14" s="580">
        <x:v>200.44</x:v>
      </x:c>
      <x:c r="AH14" s="580">
        <x:v>233.58</x:v>
      </x:c>
      <x:c r="AI14" s="580">
        <x:v>326.02999999999997</x:v>
      </x:c>
      <x:c r="AJ14" s="580">
        <x:v>297.83</x:v>
      </x:c>
      <x:c r="AK14" s="580">
        <x:v>244.82</x:v>
      </x:c>
      <x:c r="AL14" s="580">
        <x:v>327.41000000000003</x:v>
      </x:c>
      <x:c r="AM14" s="580">
        <x:v>349.32</x:v>
      </x:c>
      <x:c r="AN14" s="580"/>
      <x:c r="AO14" s="580"/>
      <x:c r="AP14" s="580"/>
      <x:c r="AQ14" s="580"/>
      <x:c r="AR14" s="580"/>
      <x:c r="AS14" s="580"/>
      <x:c r="AT14" s="580"/>
      <x:c r="AU14" s="580"/>
      <x:c r="AV14" s="580"/>
      <x:c r="AW14" s="580"/>
      <x:c r="AX14" s="580"/>
      <x:c r="AY14" s="580"/>
      <x:c r="AZ14" s="580"/>
      <x:c r="BA14" s="580"/>
      <x:c r="BB14" s="580"/>
      <x:c r="BC14" s="580"/>
      <x:c r="BD14" s="582"/>
    </x:row>
    <x:row r="15" ht="19" customHeight="1">
      <x:c r="B15" s="509">
        <x:v>14</x:v>
      </x:c>
      <x:c r="C15" s="580">
        <x:v>65.709999999999994</x:v>
      </x:c>
      <x:c r="D15" s="580">
        <x:v>91.5</x:v>
      </x:c>
      <x:c r="E15" s="580">
        <x:v>105.8</x:v>
      </x:c>
      <x:c r="F15" s="580">
        <x:v>163.5</x:v>
      </x:c>
      <x:c r="G15" s="580">
        <x:v>232.98</x:v>
      </x:c>
      <x:c r="H15" s="580">
        <x:v>217.8</x:v>
      </x:c>
      <x:c r="I15" s="580">
        <x:v>51.5</x:v>
      </x:c>
      <x:c r="J15" s="580">
        <x:v>137.91</x:v>
      </x:c>
      <x:c r="K15" s="580">
        <x:v>62.89</x:v>
      </x:c>
      <x:c r="L15" s="580">
        <x:v>300.91000000000003</x:v>
      </x:c>
      <x:c r="M15" s="580">
        <x:v>95.91</x:v>
      </x:c>
      <x:c r="N15" s="580">
        <x:v>94</x:v>
      </x:c>
      <x:c r="O15" s="580">
        <x:v>62.4</x:v>
      </x:c>
      <x:c r="P15" s="580">
        <x:v>223.5</x:v>
      </x:c>
      <x:c r="Q15" s="580">
        <x:v>141.5</x:v>
      </x:c>
      <x:c r="R15" s="580">
        <x:v>155.38</x:v>
      </x:c>
      <x:c r="S15" s="580">
        <x:v>210.12</x:v>
      </x:c>
      <x:c r="T15" s="580">
        <x:v>223.35</x:v>
      </x:c>
      <x:c r="U15" s="580">
        <x:v>58.5</x:v>
      </x:c>
      <x:c r="V15" s="580">
        <x:v>47.7</x:v>
      </x:c>
      <x:c r="W15" s="580">
        <x:v>131.4</x:v>
      </x:c>
      <x:c r="X15" s="580">
        <x:v>9.5</x:v>
      </x:c>
      <x:c r="Y15" s="580">
        <x:v>17.82</x:v>
      </x:c>
      <x:c r="Z15" s="580">
        <x:v>46</x:v>
      </x:c>
      <x:c r="AA15" s="581">
        <x:v>154.82</x:v>
      </x:c>
      <x:c r="AB15" s="580">
        <x:v>93.92</x:v>
      </x:c>
      <x:c r="AC15" s="580">
        <x:v>359.09</x:v>
      </x:c>
      <x:c r="AD15" s="580">
        <x:v>179.39</x:v>
      </x:c>
      <x:c r="AE15" s="580">
        <x:v>174.41</x:v>
      </x:c>
      <x:c r="AF15" s="580">
        <x:v>19.399999999999999</x:v>
      </x:c>
      <x:c r="AG15" s="580">
        <x:v>93.03</x:v>
      </x:c>
      <x:c r="AH15" s="580">
        <x:v>97</x:v>
      </x:c>
      <x:c r="AI15" s="580">
        <x:v>15</x:v>
      </x:c>
      <x:c r="AJ15" s="580">
        <x:v>48</x:v>
      </x:c>
      <x:c r="AK15" s="580">
        <x:v>6</x:v>
      </x:c>
      <x:c r="AL15" s="580">
        <x:v>53</x:v>
      </x:c>
      <x:c r="AM15" s="580">
        <x:v>11.2</x:v>
      </x:c>
      <x:c r="AN15" s="580"/>
      <x:c r="AO15" s="580"/>
      <x:c r="AP15" s="580"/>
      <x:c r="AQ15" s="580"/>
      <x:c r="AR15" s="580"/>
      <x:c r="AS15" s="580"/>
      <x:c r="AT15" s="580"/>
      <x:c r="AU15" s="580"/>
      <x:c r="AV15" s="580"/>
      <x:c r="AW15" s="580"/>
      <x:c r="AX15" s="580"/>
      <x:c r="AY15" s="580"/>
      <x:c r="AZ15" s="580"/>
      <x:c r="BA15" s="580"/>
      <x:c r="BB15" s="580"/>
      <x:c r="BC15" s="580"/>
      <x:c r="BD15" s="582"/>
    </x:row>
    <x:row r="16" ht="19" customHeight="1">
      <x:c r="B16" s="509">
        <x:v>15</x:v>
      </x:c>
      <x:c r="C16" s="580">
        <x:v>561.66999999999996</x:v>
      </x:c>
      <x:c r="D16" s="580">
        <x:v>308.08</x:v>
      </x:c>
      <x:c r="E16" s="580">
        <x:v>878.28</x:v>
      </x:c>
      <x:c r="F16" s="580">
        <x:v>553.29</x:v>
      </x:c>
      <x:c r="G16" s="580">
        <x:v>809.2</x:v>
      </x:c>
      <x:c r="H16" s="580">
        <x:v>780.84</x:v>
      </x:c>
      <x:c r="I16" s="580">
        <x:v>301.92</x:v>
      </x:c>
      <x:c r="J16" s="580">
        <x:v>239.1</x:v>
      </x:c>
      <x:c r="K16" s="580">
        <x:v>167</x:v>
      </x:c>
      <x:c r="L16" s="580">
        <x:v>511.68</x:v>
      </x:c>
      <x:c r="M16" s="580">
        <x:v>293.70999999999998</x:v>
      </x:c>
      <x:c r="N16" s="580">
        <x:v>220.1</x:v>
      </x:c>
      <x:c r="O16" s="580">
        <x:v>321.49</x:v>
      </x:c>
      <x:c r="P16" s="580">
        <x:v>412.52</x:v>
      </x:c>
      <x:c r="Q16" s="580">
        <x:v>379.2</x:v>
      </x:c>
      <x:c r="R16" s="580">
        <x:v>191.6</x:v>
      </x:c>
      <x:c r="S16" s="580">
        <x:v>412.3</x:v>
      </x:c>
      <x:c r="T16" s="580">
        <x:v>183.6</x:v>
      </x:c>
      <x:c r="U16" s="580">
        <x:v>172.27</x:v>
      </x:c>
      <x:c r="V16" s="580">
        <x:v>429.23</x:v>
      </x:c>
      <x:c r="W16" s="580">
        <x:v>290.92</x:v>
      </x:c>
      <x:c r="X16" s="580">
        <x:v>51.32</x:v>
      </x:c>
      <x:c r="Y16" s="580">
        <x:v>75.010000000000005</x:v>
      </x:c>
      <x:c r="Z16" s="580">
        <x:v>135.91</x:v>
      </x:c>
      <x:c r="AA16" s="581">
        <x:v>189.1</x:v>
      </x:c>
      <x:c r="AB16" s="580">
        <x:v>589.82000000000005</x:v>
      </x:c>
      <x:c r="AC16" s="580">
        <x:v>158.51</x:v>
      </x:c>
      <x:c r="AD16" s="580">
        <x:v>234.02</x:v>
      </x:c>
      <x:c r="AE16" s="580">
        <x:v>149.91</x:v>
      </x:c>
      <x:c r="AF16" s="580">
        <x:v>334.71</x:v>
      </x:c>
      <x:c r="AG16" s="580">
        <x:v>172</x:v>
      </x:c>
      <x:c r="AH16" s="580">
        <x:v>417.73</x:v>
      </x:c>
      <x:c r="AI16" s="580">
        <x:v>453.4</x:v>
      </x:c>
      <x:c r="AJ16" s="580">
        <x:v>393.2</x:v>
      </x:c>
      <x:c r="AK16" s="580">
        <x:v>445.65</x:v>
      </x:c>
      <x:c r="AL16" s="580">
        <x:v>709.61</x:v>
      </x:c>
      <x:c r="AM16" s="580">
        <x:v>388.99</x:v>
      </x:c>
      <x:c r="AN16" s="580"/>
      <x:c r="AO16" s="580"/>
      <x:c r="AP16" s="580"/>
      <x:c r="AQ16" s="580"/>
      <x:c r="AR16" s="580"/>
      <x:c r="AS16" s="580"/>
      <x:c r="AT16" s="580"/>
      <x:c r="AU16" s="580"/>
      <x:c r="AV16" s="580"/>
      <x:c r="AW16" s="580"/>
      <x:c r="AX16" s="580"/>
      <x:c r="AY16" s="580"/>
      <x:c r="AZ16" s="580"/>
      <x:c r="BA16" s="580"/>
      <x:c r="BB16" s="580"/>
      <x:c r="BC16" s="580"/>
      <x:c r="BD16" s="582"/>
    </x:row>
    <x:row r="17" ht="19" customHeight="1">
      <x:c r="B17" s="509">
        <x:v>16</x:v>
      </x:c>
      <x:c r="C17" s="580">
        <x:v>626.80999999999995</x:v>
      </x:c>
      <x:c r="D17" s="580">
        <x:v>221.31</x:v>
      </x:c>
      <x:c r="E17" s="580">
        <x:v>315.13</x:v>
      </x:c>
      <x:c r="F17" s="580">
        <x:v>372.73</x:v>
      </x:c>
      <x:c r="G17" s="580">
        <x:v>680.46</x:v>
      </x:c>
      <x:c r="H17" s="580">
        <x:v>381.6</x:v>
      </x:c>
      <x:c r="I17" s="580">
        <x:v>324.92</x:v>
      </x:c>
      <x:c r="J17" s="580">
        <x:v>258.72000000000003</x:v>
      </x:c>
      <x:c r="K17" s="580">
        <x:v>288.83</x:v>
      </x:c>
      <x:c r="L17" s="580">
        <x:v>690.09</x:v>
      </x:c>
      <x:c r="M17" s="580">
        <x:v>299.89</x:v>
      </x:c>
      <x:c r="N17" s="580">
        <x:v>190.18</x:v>
      </x:c>
      <x:c r="O17" s="580">
        <x:v>121.4</x:v>
      </x:c>
      <x:c r="P17" s="580">
        <x:v>189.96</x:v>
      </x:c>
      <x:c r="Q17" s="580">
        <x:v>123.5</x:v>
      </x:c>
      <x:c r="R17" s="580">
        <x:v>104.4</x:v>
      </x:c>
      <x:c r="S17" s="580">
        <x:v>164.39</x:v>
      </x:c>
      <x:c r="T17" s="580">
        <x:v>50</x:v>
      </x:c>
      <x:c r="U17" s="580">
        <x:v>54</x:v>
      </x:c>
      <x:c r="V17" s="580">
        <x:v>31.5</x:v>
      </x:c>
      <x:c r="W17" s="580">
        <x:v>19</x:v>
      </x:c>
      <x:c r="X17" s="580">
        <x:v>2.2999999999999998</x:v>
      </x:c>
      <x:c r="Y17" s="580">
        <x:v>11</x:v>
      </x:c>
      <x:c r="Z17" s="580">
        <x:v>9.99</x:v>
      </x:c>
      <x:c r="AA17" s="581">
        <x:v>39</x:v>
      </x:c>
      <x:c r="AB17" s="580">
        <x:v>152</x:v>
      </x:c>
      <x:c r="AC17" s="580">
        <x:v>74.73</x:v>
      </x:c>
      <x:c r="AD17" s="580">
        <x:v>168.43</x:v>
      </x:c>
      <x:c r="AE17" s="580">
        <x:v>174.62</x:v>
      </x:c>
      <x:c r="AF17" s="580">
        <x:v>108.91</x:v>
      </x:c>
      <x:c r="AG17" s="580">
        <x:v>47.99</x:v>
      </x:c>
      <x:c r="AH17" s="580">
        <x:v>432.32</x:v>
      </x:c>
      <x:c r="AI17" s="580">
        <x:v>435.49</x:v>
      </x:c>
      <x:c r="AJ17" s="580">
        <x:v>575.07000000000005</x:v>
      </x:c>
      <x:c r="AK17" s="580">
        <x:v>699.04</x:v>
      </x:c>
      <x:c r="AL17" s="580">
        <x:v>786.44899999999996</x:v>
      </x:c>
      <x:c r="AM17" s="580">
        <x:v>383.32</x:v>
      </x:c>
      <x:c r="AN17" s="580"/>
      <x:c r="AO17" s="580"/>
      <x:c r="AP17" s="580"/>
      <x:c r="AQ17" s="580"/>
      <x:c r="AR17" s="580"/>
      <x:c r="AS17" s="580"/>
      <x:c r="AT17" s="580"/>
      <x:c r="AU17" s="580"/>
      <x:c r="AV17" s="580"/>
      <x:c r="AW17" s="580"/>
      <x:c r="AX17" s="580"/>
      <x:c r="AY17" s="580"/>
      <x:c r="AZ17" s="580"/>
      <x:c r="BA17" s="580"/>
      <x:c r="BB17" s="580"/>
      <x:c r="BC17" s="580"/>
      <x:c r="BD17" s="582"/>
    </x:row>
    <x:row r="18" ht="19" customHeight="1">
      <x:c r="B18" s="509">
        <x:v>17</x:v>
      </x:c>
      <x:c r="C18" s="580">
        <x:v>181.91</x:v>
      </x:c>
      <x:c r="D18" s="580">
        <x:v>197.5</x:v>
      </x:c>
      <x:c r="E18" s="580">
        <x:v>223.68</x:v>
      </x:c>
      <x:c r="F18" s="580">
        <x:v>216</x:v>
      </x:c>
      <x:c r="G18" s="580">
        <x:v>270.79000000000002</x:v>
      </x:c>
      <x:c r="H18" s="580">
        <x:v>130.08000000000001</x:v>
      </x:c>
      <x:c r="I18" s="580">
        <x:v>114.66</x:v>
      </x:c>
      <x:c r="J18" s="580">
        <x:v>172.61</x:v>
      </x:c>
      <x:c r="K18" s="580">
        <x:v>180.37</x:v>
      </x:c>
      <x:c r="L18" s="580">
        <x:v>709.71</x:v>
      </x:c>
      <x:c r="M18" s="580">
        <x:v>869.9</x:v>
      </x:c>
      <x:c r="N18" s="580">
        <x:v>611.92999999999995</x:v>
      </x:c>
      <x:c r="O18" s="580">
        <x:v>456.18</x:v>
      </x:c>
      <x:c r="P18" s="580">
        <x:v>592.36</x:v>
      </x:c>
      <x:c r="Q18" s="580">
        <x:v>718.21</x:v>
      </x:c>
      <x:c r="R18" s="580">
        <x:v>434.67</x:v>
      </x:c>
      <x:c r="S18" s="580">
        <x:v>578.98</x:v>
      </x:c>
      <x:c r="T18" s="580">
        <x:v>242.31</x:v>
      </x:c>
      <x:c r="U18" s="580">
        <x:v>95.91</x:v>
      </x:c>
      <x:c r="V18" s="580">
        <x:v>136.24</x:v>
      </x:c>
      <x:c r="W18" s="580">
        <x:v>186.29</x:v>
      </x:c>
      <x:c r="X18" s="580">
        <x:v>82.32</x:v>
      </x:c>
      <x:c r="Y18" s="580">
        <x:v>146.18</x:v>
      </x:c>
      <x:c r="Z18" s="580">
        <x:v>135.82</x:v>
      </x:c>
      <x:c r="AA18" s="581">
        <x:v>164.5</x:v>
      </x:c>
      <x:c r="AB18" s="580">
        <x:v>207.13</x:v>
      </x:c>
      <x:c r="AC18" s="580">
        <x:v>68</x:v>
      </x:c>
      <x:c r="AD18" s="580">
        <x:v>232.95</x:v>
      </x:c>
      <x:c r="AE18" s="580">
        <x:v>396.91</x:v>
      </x:c>
      <x:c r="AF18" s="580">
        <x:v>329.43</x:v>
      </x:c>
      <x:c r="AG18" s="580">
        <x:v>111.97</x:v>
      </x:c>
      <x:c r="AH18" s="580">
        <x:v>119.5</x:v>
      </x:c>
      <x:c r="AI18" s="580">
        <x:v>175</x:v>
      </x:c>
      <x:c r="AJ18" s="580">
        <x:v>141.69999999999999</x:v>
      </x:c>
      <x:c r="AK18" s="580">
        <x:v>185.81</x:v>
      </x:c>
      <x:c r="AL18" s="580">
        <x:v>65.010000000000005</x:v>
      </x:c>
      <x:c r="AM18" s="580">
        <x:v>48.12</x:v>
      </x:c>
      <x:c r="AN18" s="580"/>
      <x:c r="AO18" s="580"/>
      <x:c r="AP18" s="580"/>
      <x:c r="AQ18" s="580"/>
      <x:c r="AR18" s="580"/>
      <x:c r="AS18" s="580"/>
      <x:c r="AT18" s="580"/>
      <x:c r="AU18" s="580"/>
      <x:c r="AV18" s="580"/>
      <x:c r="AW18" s="580"/>
      <x:c r="AX18" s="580"/>
      <x:c r="AY18" s="580"/>
      <x:c r="AZ18" s="580"/>
      <x:c r="BA18" s="580"/>
      <x:c r="BB18" s="580"/>
      <x:c r="BC18" s="580"/>
      <x:c r="BD18" s="582"/>
    </x:row>
    <x:row r="19" ht="19" customHeight="1">
      <x:c r="B19" s="509">
        <x:v>18</x:v>
      </x:c>
      <x:c r="C19" s="580">
        <x:v>263.58999999999997</x:v>
      </x:c>
      <x:c r="D19" s="580">
        <x:v>156.9</x:v>
      </x:c>
      <x:c r="E19" s="580">
        <x:v>199.54</x:v>
      </x:c>
      <x:c r="F19" s="580">
        <x:v>389.74</x:v>
      </x:c>
      <x:c r="G19" s="580">
        <x:v>162.87</x:v>
      </x:c>
      <x:c r="H19" s="580">
        <x:v>263</x:v>
      </x:c>
      <x:c r="I19" s="580">
        <x:v>143.31</x:v>
      </x:c>
      <x:c r="J19" s="580">
        <x:v>154.69</x:v>
      </x:c>
      <x:c r="K19" s="580">
        <x:v>516.86</x:v>
      </x:c>
      <x:c r="L19" s="580">
        <x:v>351.73</x:v>
      </x:c>
      <x:c r="M19" s="580">
        <x:v>222.94</x:v>
      </x:c>
      <x:c r="N19" s="580">
        <x:v>270.2</x:v>
      </x:c>
      <x:c r="O19" s="580">
        <x:v>268.39999999999998</x:v>
      </x:c>
      <x:c r="P19" s="580">
        <x:v>375.56</x:v>
      </x:c>
      <x:c r="Q19" s="580">
        <x:v>813.16</x:v>
      </x:c>
      <x:c r="R19" s="580">
        <x:v>522.42999999999995</x:v>
      </x:c>
      <x:c r="S19" s="580">
        <x:v>778.29</x:v>
      </x:c>
      <x:c r="T19" s="580">
        <x:v>498.1</x:v>
      </x:c>
      <x:c r="U19" s="580">
        <x:v>197.1</x:v>
      </x:c>
      <x:c r="V19" s="580">
        <x:v>179.91</x:v>
      </x:c>
      <x:c r="W19" s="580">
        <x:v>554.64</x:v>
      </x:c>
      <x:c r="X19" s="580">
        <x:v>259.91000000000003</x:v>
      </x:c>
      <x:c r="Y19" s="580">
        <x:v>300.83</x:v>
      </x:c>
      <x:c r="Z19" s="580">
        <x:v>397.62</x:v>
      </x:c>
      <x:c r="AA19" s="581">
        <x:v>220</x:v>
      </x:c>
      <x:c r="AB19" s="580">
        <x:v>514.23</x:v>
      </x:c>
      <x:c r="AC19" s="580">
        <x:v>743.55</x:v>
      </x:c>
      <x:c r="AD19" s="580">
        <x:v>794.34</x:v>
      </x:c>
      <x:c r="AE19" s="580">
        <x:v>659.51</x:v>
      </x:c>
      <x:c r="AF19" s="580">
        <x:v>684.61</x:v>
      </x:c>
      <x:c r="AG19" s="580">
        <x:v>421.93</x:v>
      </x:c>
      <x:c r="AH19" s="580">
        <x:v>266.94</x:v>
      </x:c>
      <x:c r="AI19" s="580">
        <x:v>657.68</x:v>
      </x:c>
      <x:c r="AJ19" s="580">
        <x:v>758.92</x:v>
      </x:c>
      <x:c r="AK19" s="580">
        <x:v>667.97</x:v>
      </x:c>
      <x:c r="AL19" s="580">
        <x:v>1395.09</x:v>
      </x:c>
      <x:c r="AM19" s="580">
        <x:v>1516.1</x:v>
      </x:c>
      <x:c r="AN19" s="580"/>
      <x:c r="AO19" s="580"/>
      <x:c r="AP19" s="580"/>
      <x:c r="AQ19" s="580"/>
      <x:c r="AR19" s="580"/>
      <x:c r="AS19" s="580"/>
      <x:c r="AT19" s="580"/>
      <x:c r="AU19" s="580"/>
      <x:c r="AV19" s="580"/>
      <x:c r="AW19" s="580"/>
      <x:c r="AX19" s="580"/>
      <x:c r="AY19" s="580"/>
      <x:c r="AZ19" s="580"/>
      <x:c r="BA19" s="580"/>
      <x:c r="BB19" s="580"/>
      <x:c r="BC19" s="580"/>
      <x:c r="BD19" s="582"/>
    </x:row>
    <x:row r="20" ht="19" customHeight="1">
      <x:c r="B20" s="509">
        <x:v>19</x:v>
      </x:c>
      <x:c r="C20" s="580">
        <x:v>89.79</x:v>
      </x:c>
      <x:c r="D20" s="580">
        <x:v>162.53</x:v>
      </x:c>
      <x:c r="E20" s="580">
        <x:v>343.03</x:v>
      </x:c>
      <x:c r="F20" s="580">
        <x:v>280.25</x:v>
      </x:c>
      <x:c r="G20" s="580">
        <x:v>269.51</x:v>
      </x:c>
      <x:c r="H20" s="580">
        <x:v>252.77</x:v>
      </x:c>
      <x:c r="I20" s="580">
        <x:v>204.6</x:v>
      </x:c>
      <x:c r="J20" s="580">
        <x:v>290.22000000000003</x:v>
      </x:c>
      <x:c r="K20" s="580">
        <x:v>539.84</x:v>
      </x:c>
      <x:c r="L20" s="580">
        <x:v>611.15</x:v>
      </x:c>
      <x:c r="M20" s="580">
        <x:v>649.92999999999995</x:v>
      </x:c>
      <x:c r="N20" s="580">
        <x:v>369.05</x:v>
      </x:c>
      <x:c r="O20" s="580">
        <x:v>556.05999999999995</x:v>
      </x:c>
      <x:c r="P20" s="580">
        <x:v>486.23</x:v>
      </x:c>
      <x:c r="Q20" s="580">
        <x:v>710.4</x:v>
      </x:c>
      <x:c r="R20" s="580">
        <x:v>844.68</x:v>
      </x:c>
      <x:c r="S20" s="580">
        <x:v>590.21</x:v>
      </x:c>
      <x:c r="T20" s="580">
        <x:v>641.63</x:v>
      </x:c>
      <x:c r="U20" s="580">
        <x:v>505.31</x:v>
      </x:c>
      <x:c r="V20" s="580">
        <x:v>425.9</x:v>
      </x:c>
      <x:c r="W20" s="580">
        <x:v>624.30999999999995</x:v>
      </x:c>
      <x:c r="X20" s="580">
        <x:v>324</x:v>
      </x:c>
      <x:c r="Y20" s="580">
        <x:v>374.03</x:v>
      </x:c>
      <x:c r="Z20" s="580">
        <x:v>379.91</x:v>
      </x:c>
      <x:c r="AA20" s="581">
        <x:v>187.31</x:v>
      </x:c>
      <x:c r="AB20" s="580">
        <x:v>110.37</x:v>
      </x:c>
      <x:c r="AC20" s="580">
        <x:v>339.26</x:v>
      </x:c>
      <x:c r="AD20" s="580">
        <x:v>247.91</x:v>
      </x:c>
      <x:c r="AE20" s="580">
        <x:v>732.27</x:v>
      </x:c>
      <x:c r="AF20" s="580">
        <x:v>362.02</x:v>
      </x:c>
      <x:c r="AG20" s="580">
        <x:v>141</x:v>
      </x:c>
      <x:c r="AH20" s="580">
        <x:v>116.31</x:v>
      </x:c>
      <x:c r="AI20" s="580">
        <x:v>275.25</x:v>
      </x:c>
      <x:c r="AJ20" s="580">
        <x:v>337.82</x:v>
      </x:c>
      <x:c r="AK20" s="580">
        <x:v>344.62</x:v>
      </x:c>
      <x:c r="AL20" s="580">
        <x:v>975.19</x:v>
      </x:c>
      <x:c r="AM20" s="580">
        <x:v>601.55999999999995</x:v>
      </x:c>
      <x:c r="AN20" s="580"/>
      <x:c r="AO20" s="580"/>
      <x:c r="AP20" s="580"/>
      <x:c r="AQ20" s="580"/>
      <x:c r="AR20" s="580"/>
      <x:c r="AS20" s="580"/>
      <x:c r="AT20" s="580"/>
      <x:c r="AU20" s="580"/>
      <x:c r="AV20" s="580"/>
      <x:c r="AW20" s="580"/>
      <x:c r="AX20" s="580"/>
      <x:c r="AY20" s="580"/>
      <x:c r="AZ20" s="580"/>
      <x:c r="BA20" s="580"/>
      <x:c r="BB20" s="580"/>
      <x:c r="BC20" s="580"/>
      <x:c r="BD20" s="582"/>
    </x:row>
    <x:row r="21" ht="19" customHeight="1">
      <x:c r="B21" s="509">
        <x:v>20</x:v>
      </x:c>
      <x:c r="C21" s="580">
        <x:v>90.7</x:v>
      </x:c>
      <x:c r="D21" s="580">
        <x:v>74</x:v>
      </x:c>
      <x:c r="E21" s="580">
        <x:v>159.75</x:v>
      </x:c>
      <x:c r="F21" s="580">
        <x:v>278</x:v>
      </x:c>
      <x:c r="G21" s="580">
        <x:v>234.32</x:v>
      </x:c>
      <x:c r="H21" s="580">
        <x:v>457.4</x:v>
      </x:c>
      <x:c r="I21" s="580">
        <x:v>158.69999999999999</x:v>
      </x:c>
      <x:c r="J21" s="580">
        <x:v>190.51</x:v>
      </x:c>
      <x:c r="K21" s="580">
        <x:v>421.66</x:v>
      </x:c>
      <x:c r="L21" s="580">
        <x:v>353.89</x:v>
      </x:c>
      <x:c r="M21" s="580">
        <x:v>411.86</x:v>
      </x:c>
      <x:c r="N21" s="580">
        <x:v>488.93</x:v>
      </x:c>
      <x:c r="O21" s="580">
        <x:v>443.63</x:v>
      </x:c>
      <x:c r="P21" s="580">
        <x:v>451.49</x:v>
      </x:c>
      <x:c r="Q21" s="580">
        <x:v>415.5</x:v>
      </x:c>
      <x:c r="R21" s="580">
        <x:v>220.31</x:v>
      </x:c>
      <x:c r="S21" s="580">
        <x:v>280.2</x:v>
      </x:c>
      <x:c r="T21" s="580">
        <x:v>265.91000000000003</x:v>
      </x:c>
      <x:c r="U21" s="580">
        <x:v>200.11</x:v>
      </x:c>
      <x:c r="V21" s="580">
        <x:v>161.82</x:v>
      </x:c>
      <x:c r="W21" s="580">
        <x:v>295.82</x:v>
      </x:c>
      <x:c r="X21" s="580">
        <x:v>27.2</x:v>
      </x:c>
      <x:c r="Y21" s="580">
        <x:v>105</x:v>
      </x:c>
      <x:c r="Z21" s="580">
        <x:v>74.75</x:v>
      </x:c>
      <x:c r="AA21" s="581">
        <x:v>52.5</x:v>
      </x:c>
      <x:c r="AB21" s="580">
        <x:v>43.5</x:v>
      </x:c>
      <x:c r="AC21" s="580">
        <x:v>157.38999999999999</x:v>
      </x:c>
      <x:c r="AD21" s="580">
        <x:v>135.84</x:v>
      </x:c>
      <x:c r="AE21" s="580">
        <x:v>220</x:v>
      </x:c>
      <x:c r="AF21" s="580">
        <x:v>86.2</x:v>
      </x:c>
      <x:c r="AG21" s="580">
        <x:v>60.2</x:v>
      </x:c>
      <x:c r="AH21" s="580">
        <x:v>180.61</x:v>
      </x:c>
      <x:c r="AI21" s="580">
        <x:v>528.64</x:v>
      </x:c>
      <x:c r="AJ21" s="580">
        <x:v>719.96</x:v>
      </x:c>
      <x:c r="AK21" s="580">
        <x:v>371.64</x:v>
      </x:c>
      <x:c r="AL21" s="580">
        <x:v>1390.96</x:v>
      </x:c>
      <x:c r="AM21" s="580">
        <x:v>891.79</x:v>
      </x:c>
      <x:c r="AN21" s="580"/>
      <x:c r="AO21" s="580"/>
      <x:c r="AP21" s="580"/>
      <x:c r="AQ21" s="580"/>
      <x:c r="AR21" s="580"/>
      <x:c r="AS21" s="580"/>
      <x:c r="AT21" s="580"/>
      <x:c r="AU21" s="580"/>
      <x:c r="AV21" s="580"/>
      <x:c r="AW21" s="580"/>
      <x:c r="AX21" s="580"/>
      <x:c r="AY21" s="580"/>
      <x:c r="AZ21" s="580"/>
      <x:c r="BA21" s="580"/>
      <x:c r="BB21" s="580"/>
      <x:c r="BC21" s="580"/>
      <x:c r="BD21" s="582"/>
    </x:row>
    <x:row r="22" ht="19" customHeight="1">
      <x:c r="B22" s="509">
        <x:v>21</x:v>
      </x:c>
      <x:c r="C22" s="580">
        <x:v>173.23</x:v>
      </x:c>
      <x:c r="D22" s="580">
        <x:v>190.92</x:v>
      </x:c>
      <x:c r="E22" s="580">
        <x:v>231.69</x:v>
      </x:c>
      <x:c r="F22" s="580">
        <x:v>218.91</x:v>
      </x:c>
      <x:c r="G22" s="580">
        <x:v>378.19</x:v>
      </x:c>
      <x:c r="H22" s="580">
        <x:v>613.09</x:v>
      </x:c>
      <x:c r="I22" s="580">
        <x:v>30</x:v>
      </x:c>
      <x:c r="J22" s="580">
        <x:v>294.20999999999998</x:v>
      </x:c>
      <x:c r="K22" s="580">
        <x:v>257.2</x:v>
      </x:c>
      <x:c r="L22" s="580">
        <x:v>669.39</x:v>
      </x:c>
      <x:c r="M22" s="580">
        <x:v>389.14</x:v>
      </x:c>
      <x:c r="N22" s="580">
        <x:v>338.47</x:v>
      </x:c>
      <x:c r="O22" s="580">
        <x:v>310.89999999999998</x:v>
      </x:c>
      <x:c r="P22" s="580">
        <x:v>591.74</x:v>
      </x:c>
      <x:c r="Q22" s="580">
        <x:v>360.89</x:v>
      </x:c>
      <x:c r="R22" s="580">
        <x:v>328.07</x:v>
      </x:c>
      <x:c r="S22" s="580">
        <x:v>570.36</x:v>
      </x:c>
      <x:c r="T22" s="580">
        <x:v>300.27</x:v>
      </x:c>
      <x:c r="U22" s="580">
        <x:v>193.4</x:v>
      </x:c>
      <x:c r="V22" s="580">
        <x:v>110.91</x:v>
      </x:c>
      <x:c r="W22" s="580">
        <x:v>75</x:v>
      </x:c>
      <x:c r="X22" s="580">
        <x:v>50.91</x:v>
      </x:c>
      <x:c r="Y22" s="580">
        <x:v>19.45</x:v>
      </x:c>
      <x:c r="Z22" s="580">
        <x:v>7.5</x:v>
      </x:c>
      <x:c r="AA22" s="581">
        <x:v>80</x:v>
      </x:c>
      <x:c r="AB22" s="580">
        <x:v>34</x:v>
      </x:c>
      <x:c r="AC22" s="580">
        <x:v>0</x:v>
      </x:c>
      <x:c r="AD22" s="580">
        <x:v>15</x:v>
      </x:c>
      <x:c r="AE22" s="580">
        <x:v>4</x:v>
      </x:c>
      <x:c r="AF22" s="580">
        <x:v>20</x:v>
      </x:c>
      <x:c r="AG22" s="580">
        <x:v>0</x:v>
      </x:c>
      <x:c r="AH22" s="580">
        <x:v>11.95</x:v>
      </x:c>
      <x:c r="AI22" s="580">
        <x:v>20</x:v>
      </x:c>
      <x:c r="AJ22" s="580">
        <x:v>18</x:v>
      </x:c>
      <x:c r="AK22" s="580">
        <x:v>99</x:v>
      </x:c>
      <x:c r="AL22" s="580">
        <x:v>182.42</x:v>
      </x:c>
      <x:c r="AM22" s="580">
        <x:v>317.54000000000002</x:v>
      </x:c>
      <x:c r="AN22" s="580"/>
      <x:c r="AO22" s="580"/>
      <x:c r="AP22" s="580"/>
      <x:c r="AQ22" s="580"/>
      <x:c r="AR22" s="580"/>
      <x:c r="AS22" s="580"/>
      <x:c r="AT22" s="580"/>
      <x:c r="AU22" s="580"/>
      <x:c r="AV22" s="580"/>
      <x:c r="AW22" s="580"/>
      <x:c r="AX22" s="580"/>
      <x:c r="AY22" s="580"/>
      <x:c r="AZ22" s="580"/>
      <x:c r="BA22" s="580"/>
      <x:c r="BB22" s="580"/>
      <x:c r="BC22" s="580"/>
      <x:c r="BD22" s="582"/>
    </x:row>
    <x:row r="23" ht="19" customHeight="1">
      <x:c r="B23" s="509">
        <x:v>22</x:v>
      </x:c>
      <x:c r="C23" s="580">
        <x:v>50.9</x:v>
      </x:c>
      <x:c r="D23" s="580">
        <x:v>100.7</x:v>
      </x:c>
      <x:c r="E23" s="580">
        <x:v>311.8</x:v>
      </x:c>
      <x:c r="F23" s="580">
        <x:v>382.02</x:v>
      </x:c>
      <x:c r="G23" s="580">
        <x:v>221.3</x:v>
      </x:c>
      <x:c r="H23" s="580">
        <x:v>201.51</x:v>
      </x:c>
      <x:c r="I23" s="580">
        <x:v>155.99</x:v>
      </x:c>
      <x:c r="J23" s="580">
        <x:v>284.5</x:v>
      </x:c>
      <x:c r="K23" s="580">
        <x:v>298.79000000000002</x:v>
      </x:c>
      <x:c r="L23" s="580">
        <x:v>655.34</x:v>
      </x:c>
      <x:c r="M23" s="580">
        <x:v>773.24</x:v>
      </x:c>
      <x:c r="N23" s="580">
        <x:v>565.09</x:v>
      </x:c>
      <x:c r="O23" s="580">
        <x:v>527.5</x:v>
      </x:c>
      <x:c r="P23" s="580">
        <x:v>1784.24</x:v>
      </x:c>
      <x:c r="Q23" s="580">
        <x:v>1742.8</x:v>
      </x:c>
      <x:c r="R23" s="580">
        <x:v>1148.71</x:v>
      </x:c>
      <x:c r="S23" s="580">
        <x:v>1876.42</x:v>
      </x:c>
      <x:c r="T23" s="580">
        <x:v>771.13</x:v>
      </x:c>
      <x:c r="U23" s="580">
        <x:v>556.30999999999995</x:v>
      </x:c>
      <x:c r="V23" s="580">
        <x:v>513.01</x:v>
      </x:c>
      <x:c r="W23" s="580">
        <x:v>487.89</x:v>
      </x:c>
      <x:c r="X23" s="580">
        <x:v>91.17</x:v>
      </x:c>
      <x:c r="Y23" s="580">
        <x:v>303</x:v>
      </x:c>
      <x:c r="Z23" s="580">
        <x:v>522.51</x:v>
      </x:c>
      <x:c r="AA23" s="581">
        <x:v>200.13</x:v>
      </x:c>
      <x:c r="AB23" s="580">
        <x:v>515.23</x:v>
      </x:c>
      <x:c r="AC23" s="580">
        <x:v>892.33</x:v>
      </x:c>
      <x:c r="AD23" s="580">
        <x:v>517.04</x:v>
      </x:c>
      <x:c r="AE23" s="580">
        <x:v>830.44</x:v>
      </x:c>
      <x:c r="AF23" s="580">
        <x:v>990.43</x:v>
      </x:c>
      <x:c r="AG23" s="580">
        <x:v>361.41</x:v>
      </x:c>
      <x:c r="AH23" s="580">
        <x:v>628.33000000000004</x:v>
      </x:c>
      <x:c r="AI23" s="580">
        <x:v>744.81</x:v>
      </x:c>
      <x:c r="AJ23" s="580">
        <x:v>535.1</x:v>
      </x:c>
      <x:c r="AK23" s="580">
        <x:v>385.82</x:v>
      </x:c>
      <x:c r="AL23" s="580">
        <x:v>707.03</x:v>
      </x:c>
      <x:c r="AM23" s="580">
        <x:v>467.73</x:v>
      </x:c>
      <x:c r="AN23" s="580"/>
      <x:c r="AO23" s="580"/>
      <x:c r="AP23" s="580"/>
      <x:c r="AQ23" s="580"/>
      <x:c r="AR23" s="580"/>
      <x:c r="AS23" s="580"/>
      <x:c r="AT23" s="580"/>
      <x:c r="AU23" s="580"/>
      <x:c r="AV23" s="580"/>
      <x:c r="AW23" s="580"/>
      <x:c r="AX23" s="580"/>
      <x:c r="AY23" s="580"/>
      <x:c r="AZ23" s="580"/>
      <x:c r="BA23" s="580"/>
      <x:c r="BB23" s="580"/>
      <x:c r="BC23" s="580"/>
      <x:c r="BD23" s="582"/>
    </x:row>
    <x:row r="24" ht="19" customHeight="1">
      <x:c r="B24" s="509">
        <x:v>23</x:v>
      </x:c>
      <x:c r="C24" s="580">
        <x:v>113.36</x:v>
      </x:c>
      <x:c r="D24" s="580">
        <x:v>128.66</x:v>
      </x:c>
      <x:c r="E24" s="580">
        <x:v>105.55</x:v>
      </x:c>
      <x:c r="F24" s="580">
        <x:v>252.36</x:v>
      </x:c>
      <x:c r="G24" s="580">
        <x:v>263.55</x:v>
      </x:c>
      <x:c r="H24" s="580">
        <x:v>191.91</x:v>
      </x:c>
      <x:c r="I24" s="580">
        <x:v>82.2</x:v>
      </x:c>
      <x:c r="J24" s="580">
        <x:v>121.5</x:v>
      </x:c>
      <x:c r="K24" s="580">
        <x:v>163.91</x:v>
      </x:c>
      <x:c r="L24" s="580">
        <x:v>603.01</x:v>
      </x:c>
      <x:c r="M24" s="580">
        <x:v>282.47000000000003</x:v>
      </x:c>
      <x:c r="N24" s="580">
        <x:v>314.24</x:v>
      </x:c>
      <x:c r="O24" s="580">
        <x:v>271.10000000000002</x:v>
      </x:c>
      <x:c r="P24" s="580">
        <x:v>782.7</x:v>
      </x:c>
      <x:c r="Q24" s="580">
        <x:v>596.23</x:v>
      </x:c>
      <x:c r="R24" s="580">
        <x:v>330.71</x:v>
      </x:c>
      <x:c r="S24" s="580">
        <x:v>637.14</x:v>
      </x:c>
      <x:c r="T24" s="580">
        <x:v>474.05</x:v>
      </x:c>
      <x:c r="U24" s="580">
        <x:v>58.7</x:v>
      </x:c>
      <x:c r="V24" s="580">
        <x:v>286.91000000000003</x:v>
      </x:c>
      <x:c r="W24" s="580">
        <x:v>407.73</x:v>
      </x:c>
      <x:c r="X24" s="580">
        <x:v>225.73</x:v>
      </x:c>
      <x:c r="Y24" s="580">
        <x:v>273.52999999999997</x:v>
      </x:c>
      <x:c r="Z24" s="580">
        <x:v>233.16</x:v>
      </x:c>
      <x:c r="AA24" s="581">
        <x:v>82.31</x:v>
      </x:c>
      <x:c r="AB24" s="580">
        <x:v>346.23</x:v>
      </x:c>
      <x:c r="AC24" s="580">
        <x:v>82.57</x:v>
      </x:c>
      <x:c r="AD24" s="580">
        <x:v>124.2</x:v>
      </x:c>
      <x:c r="AE24" s="580">
        <x:v>275.5</x:v>
      </x:c>
      <x:c r="AF24" s="580">
        <x:v>85.71</x:v>
      </x:c>
      <x:c r="AG24" s="580">
        <x:v>104</x:v>
      </x:c>
      <x:c r="AH24" s="580">
        <x:v>200.86</x:v>
      </x:c>
      <x:c r="AI24" s="580">
        <x:v>339.31</x:v>
      </x:c>
      <x:c r="AJ24" s="580">
        <x:v>460.87</x:v>
      </x:c>
      <x:c r="AK24" s="580">
        <x:v>293.89</x:v>
      </x:c>
      <x:c r="AL24" s="580">
        <x:v>1049.8800000000001</x:v>
      </x:c>
      <x:c r="AM24" s="580">
        <x:v>431.83</x:v>
      </x:c>
      <x:c r="AN24" s="580"/>
      <x:c r="AO24" s="580"/>
      <x:c r="AP24" s="580"/>
      <x:c r="AQ24" s="580"/>
      <x:c r="AR24" s="580"/>
      <x:c r="AS24" s="580"/>
      <x:c r="AT24" s="580"/>
      <x:c r="AU24" s="580"/>
      <x:c r="AV24" s="580"/>
      <x:c r="AW24" s="580"/>
      <x:c r="AX24" s="580"/>
      <x:c r="AY24" s="580"/>
      <x:c r="AZ24" s="580"/>
      <x:c r="BA24" s="580"/>
      <x:c r="BB24" s="580"/>
      <x:c r="BC24" s="580"/>
      <x:c r="BD24" s="582"/>
    </x:row>
    <x:row r="25" ht="19" customHeight="1">
      <x:c r="B25" s="509">
        <x:v>24</x:v>
      </x:c>
      <x:c r="C25" s="580">
        <x:v>90</x:v>
      </x:c>
      <x:c r="D25" s="580">
        <x:v>147.41</x:v>
      </x:c>
      <x:c r="E25" s="580">
        <x:v>166.6</x:v>
      </x:c>
      <x:c r="F25" s="580">
        <x:v>102.41</x:v>
      </x:c>
      <x:c r="G25" s="580">
        <x:v>281.51</x:v>
      </x:c>
      <x:c r="H25" s="580">
        <x:v>292.08999999999997</x:v>
      </x:c>
      <x:c r="I25" s="580">
        <x:v>270.51</x:v>
      </x:c>
      <x:c r="J25" s="580">
        <x:v>196.02</x:v>
      </x:c>
      <x:c r="K25" s="580">
        <x:v>187.48</x:v>
      </x:c>
      <x:c r="L25" s="580">
        <x:v>399.43</x:v>
      </x:c>
      <x:c r="M25" s="580">
        <x:v>285.8</x:v>
      </x:c>
      <x:c r="N25" s="580">
        <x:v>545.34</x:v>
      </x:c>
      <x:c r="O25" s="580">
        <x:v>349.25</x:v>
      </x:c>
      <x:c r="P25" s="580">
        <x:v>615.98</x:v>
      </x:c>
      <x:c r="Q25" s="580">
        <x:v>820.09</x:v>
      </x:c>
      <x:c r="R25" s="580">
        <x:v>622.20000000000005</x:v>
      </x:c>
      <x:c r="S25" s="580">
        <x:v>931.85</x:v>
      </x:c>
      <x:c r="T25" s="580">
        <x:v>713.82</x:v>
      </x:c>
      <x:c r="U25" s="580">
        <x:v>491.69</x:v>
      </x:c>
      <x:c r="V25" s="580">
        <x:v>248.6</x:v>
      </x:c>
      <x:c r="W25" s="580">
        <x:v>576.94000000000005</x:v>
      </x:c>
      <x:c r="X25" s="580">
        <x:v>429.04</x:v>
      </x:c>
      <x:c r="Y25" s="580">
        <x:v>348.93</x:v>
      </x:c>
      <x:c r="Z25" s="580">
        <x:v>302.02999999999997</x:v>
      </x:c>
      <x:c r="AA25" s="581">
        <x:v>313.52999999999997</x:v>
      </x:c>
      <x:c r="AB25" s="580">
        <x:v>0</x:v>
      </x:c>
      <x:c r="AC25" s="580">
        <x:v>0</x:v>
      </x:c>
      <x:c r="AD25" s="580">
        <x:v>0</x:v>
      </x:c>
      <x:c r="AE25" s="580">
        <x:v>0</x:v>
      </x:c>
      <x:c r="AF25" s="580">
        <x:v>0</x:v>
      </x:c>
      <x:c r="AG25" s="580">
        <x:v>0</x:v>
      </x:c>
      <x:c r="AH25" s="580">
        <x:v>0</x:v>
      </x:c>
      <x:c r="AI25" s="580">
        <x:v>0</x:v>
      </x:c>
      <x:c r="AJ25" s="580">
        <x:v>0</x:v>
      </x:c>
      <x:c r="AK25" s="583"/>
      <x:c r="AL25" s="583">
        <x:v>0</x:v>
      </x:c>
      <x:c r="AM25" s="580">
        <x:v>118.5</x:v>
      </x:c>
      <x:c r="AN25" s="580"/>
      <x:c r="AO25" s="580"/>
      <x:c r="AP25" s="580"/>
      <x:c r="AQ25" s="580"/>
      <x:c r="AR25" s="580"/>
      <x:c r="AS25" s="580"/>
      <x:c r="AT25" s="580"/>
      <x:c r="AU25" s="580"/>
      <x:c r="AV25" s="580"/>
      <x:c r="AW25" s="580"/>
      <x:c r="AX25" s="580"/>
      <x:c r="AY25" s="580"/>
      <x:c r="AZ25" s="580"/>
      <x:c r="BA25" s="580"/>
      <x:c r="BB25" s="580"/>
      <x:c r="BC25" s="580"/>
      <x:c r="BD25" s="582"/>
    </x:row>
    <x:row r="26" ht="19" customHeight="1">
      <x:c r="B26" s="509">
        <x:v>25</x:v>
      </x:c>
      <x:c r="C26" s="580">
        <x:v>36.82</x:v>
      </x:c>
      <x:c r="D26" s="580">
        <x:v>74.98</x:v>
      </x:c>
      <x:c r="E26" s="580">
        <x:v>361.82</x:v>
      </x:c>
      <x:c r="F26" s="580">
        <x:v>378.25</x:v>
      </x:c>
      <x:c r="G26" s="580">
        <x:v>278.51</x:v>
      </x:c>
      <x:c r="H26" s="580">
        <x:v>228.41</x:v>
      </x:c>
      <x:c r="I26" s="580">
        <x:v>127.2</x:v>
      </x:c>
      <x:c r="J26" s="580">
        <x:v>126.91</x:v>
      </x:c>
      <x:c r="K26" s="580">
        <x:v>78.900000000000006</x:v>
      </x:c>
      <x:c r="L26" s="580">
        <x:v>541.45000000000005</x:v>
      </x:c>
      <x:c r="M26" s="580">
        <x:v>142.19999999999999</x:v>
      </x:c>
      <x:c r="N26" s="580">
        <x:v>113</x:v>
      </x:c>
      <x:c r="O26" s="580">
        <x:v>58.09</x:v>
      </x:c>
      <x:c r="P26" s="580">
        <x:v>116.91</x:v>
      </x:c>
      <x:c r="Q26" s="580">
        <x:v>13</x:v>
      </x:c>
      <x:c r="R26" s="580">
        <x:v>10</x:v>
      </x:c>
      <x:c r="S26" s="580">
        <x:v>19.91</x:v>
      </x:c>
      <x:c r="T26" s="580">
        <x:v>62</x:v>
      </x:c>
      <x:c r="U26" s="580">
        <x:v>12</x:v>
      </x:c>
      <x:c r="V26" s="580">
        <x:v>14</x:v>
      </x:c>
      <x:c r="W26" s="580">
        <x:v>0</x:v>
      </x:c>
      <x:c r="X26" s="580">
        <x:v>4</x:v>
      </x:c>
      <x:c r="Y26" s="580">
        <x:v>19</x:v>
      </x:c>
      <x:c r="Z26" s="580">
        <x:v>22</x:v>
      </x:c>
      <x:c r="AA26" s="581">
        <x:v>45</x:v>
      </x:c>
      <x:c r="AB26" s="580">
        <x:v>29</x:v>
      </x:c>
      <x:c r="AC26" s="580">
        <x:v>15.97</x:v>
      </x:c>
      <x:c r="AD26" s="580">
        <x:v>2</x:v>
      </x:c>
      <x:c r="AE26" s="580">
        <x:v>3</x:v>
      </x:c>
      <x:c r="AF26" s="580">
        <x:v>8</x:v>
      </x:c>
      <x:c r="AG26" s="580">
        <x:v>6</x:v>
      </x:c>
      <x:c r="AH26" s="580">
        <x:v>9</x:v>
      </x:c>
      <x:c r="AI26" s="580">
        <x:v>4</x:v>
      </x:c>
      <x:c r="AJ26" s="580">
        <x:v>21</x:v>
      </x:c>
      <x:c r="AK26" s="580">
        <x:v>38.6</x:v>
      </x:c>
      <x:c r="AL26" s="580">
        <x:v>139.19999999999999</x:v>
      </x:c>
      <x:c r="AM26" s="580">
        <x:v>118.47</x:v>
      </x:c>
      <x:c r="AN26" s="580"/>
      <x:c r="AO26" s="580"/>
      <x:c r="AP26" s="580"/>
      <x:c r="AQ26" s="580"/>
      <x:c r="AR26" s="580"/>
      <x:c r="AS26" s="580"/>
      <x:c r="AT26" s="580"/>
      <x:c r="AU26" s="580"/>
      <x:c r="AV26" s="580"/>
      <x:c r="AW26" s="580"/>
      <x:c r="AX26" s="580"/>
      <x:c r="AY26" s="580"/>
      <x:c r="AZ26" s="580"/>
      <x:c r="BA26" s="580"/>
      <x:c r="BB26" s="580"/>
      <x:c r="BC26" s="580"/>
      <x:c r="BD26" s="582"/>
    </x:row>
    <x:row r="27" ht="19" customHeight="1">
      <x:c r="B27" s="509">
        <x:v>26</x:v>
      </x:c>
      <x:c r="C27" s="580">
        <x:v>110.59</x:v>
      </x:c>
      <x:c r="D27" s="580">
        <x:v>62</x:v>
      </x:c>
      <x:c r="E27" s="580">
        <x:v>71.5</x:v>
      </x:c>
      <x:c r="F27" s="580">
        <x:v>63.6</x:v>
      </x:c>
      <x:c r="G27" s="580">
        <x:v>49</x:v>
      </x:c>
      <x:c r="H27" s="580">
        <x:v>21</x:v>
      </x:c>
      <x:c r="I27" s="580">
        <x:v>44</x:v>
      </x:c>
      <x:c r="J27" s="580">
        <x:v>23.2</x:v>
      </x:c>
      <x:c r="K27" s="580">
        <x:v>58</x:v>
      </x:c>
      <x:c r="L27" s="580">
        <x:v>181.69</x:v>
      </x:c>
      <x:c r="M27" s="580">
        <x:v>217</x:v>
      </x:c>
      <x:c r="N27" s="580">
        <x:v>108</x:v>
      </x:c>
      <x:c r="O27" s="580">
        <x:v>25</x:v>
      </x:c>
      <x:c r="P27" s="580">
        <x:v>386.95</x:v>
      </x:c>
      <x:c r="Q27" s="580">
        <x:v>130.94</x:v>
      </x:c>
      <x:c r="R27" s="580">
        <x:v>78.59</x:v>
      </x:c>
      <x:c r="S27" s="580">
        <x:v>54.49</x:v>
      </x:c>
      <x:c r="T27" s="580">
        <x:v>60</x:v>
      </x:c>
      <x:c r="U27" s="580">
        <x:v>113.5</x:v>
      </x:c>
      <x:c r="V27" s="580">
        <x:v>42</x:v>
      </x:c>
      <x:c r="W27" s="580">
        <x:v>113</x:v>
      </x:c>
      <x:c r="X27" s="580">
        <x:v>5.82</x:v>
      </x:c>
      <x:c r="Y27" s="580">
        <x:v>1</x:v>
      </x:c>
      <x:c r="Z27" s="580">
        <x:v>6.91</x:v>
      </x:c>
      <x:c r="AA27" s="581">
        <x:v>22</x:v>
      </x:c>
      <x:c r="AB27" s="580">
        <x:v>33.5</x:v>
      </x:c>
      <x:c r="AC27" s="580">
        <x:v>30</x:v>
      </x:c>
      <x:c r="AD27" s="580">
        <x:v>232.15</x:v>
      </x:c>
      <x:c r="AE27" s="580">
        <x:v>81.239999999999995</x:v>
      </x:c>
      <x:c r="AF27" s="580">
        <x:v>48</x:v>
      </x:c>
      <x:c r="AG27" s="580">
        <x:v>63</x:v>
      </x:c>
      <x:c r="AH27" s="580">
        <x:v>77.91</x:v>
      </x:c>
      <x:c r="AI27" s="580">
        <x:v>168</x:v>
      </x:c>
      <x:c r="AJ27" s="580">
        <x:v>59.2</x:v>
      </x:c>
      <x:c r="AK27" s="580">
        <x:v>115.91</x:v>
      </x:c>
      <x:c r="AL27" s="580">
        <x:v>104</x:v>
      </x:c>
      <x:c r="AM27" s="580">
        <x:v>111.5</x:v>
      </x:c>
      <x:c r="AN27" s="580"/>
      <x:c r="AO27" s="580"/>
      <x:c r="AP27" s="580"/>
      <x:c r="AQ27" s="580"/>
      <x:c r="AR27" s="580"/>
      <x:c r="AS27" s="580"/>
      <x:c r="AT27" s="580"/>
      <x:c r="AU27" s="580"/>
      <x:c r="AV27" s="580"/>
      <x:c r="AW27" s="580"/>
      <x:c r="AX27" s="580"/>
      <x:c r="AY27" s="580"/>
      <x:c r="AZ27" s="580"/>
      <x:c r="BA27" s="580"/>
      <x:c r="BB27" s="580"/>
      <x:c r="BC27" s="580"/>
      <x:c r="BD27" s="582"/>
    </x:row>
    <x:row r="28" ht="19" customHeight="1">
      <x:c r="B28" s="509">
        <x:v>27</x:v>
      </x:c>
      <x:c r="C28" s="580">
        <x:v>110.9</x:v>
      </x:c>
      <x:c r="D28" s="580">
        <x:v>219.58</x:v>
      </x:c>
      <x:c r="E28" s="580">
        <x:v>370.27</x:v>
      </x:c>
      <x:c r="F28" s="580">
        <x:v>378.54</x:v>
      </x:c>
      <x:c r="G28" s="580">
        <x:v>377.88</x:v>
      </x:c>
      <x:c r="H28" s="580">
        <x:v>231.72</x:v>
      </x:c>
      <x:c r="I28" s="580">
        <x:v>500.11</x:v>
      </x:c>
      <x:c r="J28" s="580">
        <x:v>175.7</x:v>
      </x:c>
      <x:c r="K28" s="580">
        <x:v>321.58</x:v>
      </x:c>
      <x:c r="L28" s="580">
        <x:v>413.05</x:v>
      </x:c>
      <x:c r="M28" s="580">
        <x:v>218.32</x:v>
      </x:c>
      <x:c r="N28" s="580">
        <x:v>165.02</x:v>
      </x:c>
      <x:c r="O28" s="580">
        <x:v>260.76</x:v>
      </x:c>
      <x:c r="P28" s="580">
        <x:v>364.58</x:v>
      </x:c>
      <x:c r="Q28" s="580">
        <x:v>514.85</x:v>
      </x:c>
      <x:c r="R28" s="580">
        <x:v>311.32</x:v>
      </x:c>
      <x:c r="S28" s="580">
        <x:v>272.99</x:v>
      </x:c>
      <x:c r="T28" s="580">
        <x:v>320.3</x:v>
      </x:c>
      <x:c r="U28" s="580">
        <x:v>211.9</x:v>
      </x:c>
      <x:c r="V28" s="580">
        <x:v>355.46</x:v>
      </x:c>
      <x:c r="W28" s="580">
        <x:v>277.24</x:v>
      </x:c>
      <x:c r="X28" s="580">
        <x:v>378.17</x:v>
      </x:c>
      <x:c r="Y28" s="580">
        <x:v>251.64</x:v>
      </x:c>
      <x:c r="Z28" s="580">
        <x:v>557.54999999999995</x:v>
      </x:c>
      <x:c r="AA28" s="581">
        <x:v>630.65</x:v>
      </x:c>
      <x:c r="AB28" s="580">
        <x:v>493.43</x:v>
      </x:c>
      <x:c r="AC28" s="580">
        <x:v>1165.7</x:v>
      </x:c>
      <x:c r="AD28" s="580">
        <x:v>1323.85</x:v>
      </x:c>
      <x:c r="AE28" s="580">
        <x:v>1645.43</x:v>
      </x:c>
      <x:c r="AF28" s="580">
        <x:v>1552.25</x:v>
      </x:c>
      <x:c r="AG28" s="580">
        <x:v>355.45</x:v>
      </x:c>
      <x:c r="AH28" s="580">
        <x:v>457.3</x:v>
      </x:c>
      <x:c r="AI28" s="580">
        <x:v>1176.2</x:v>
      </x:c>
      <x:c r="AJ28" s="580">
        <x:v>817.08</x:v>
      </x:c>
      <x:c r="AK28" s="583"/>
      <x:c r="AL28" s="583">
        <x:v>0</x:v>
      </x:c>
      <x:c r="AM28" s="580">
        <x:v>376</x:v>
      </x:c>
      <x:c r="AN28" s="580"/>
      <x:c r="AO28" s="580"/>
      <x:c r="AP28" s="580"/>
      <x:c r="AQ28" s="580"/>
      <x:c r="AR28" s="580"/>
      <x:c r="AS28" s="580"/>
      <x:c r="AT28" s="580"/>
      <x:c r="AU28" s="580"/>
      <x:c r="AV28" s="580"/>
      <x:c r="AW28" s="580"/>
      <x:c r="AX28" s="580"/>
      <x:c r="AY28" s="580"/>
      <x:c r="AZ28" s="580"/>
      <x:c r="BA28" s="580"/>
      <x:c r="BB28" s="580"/>
      <x:c r="BC28" s="580"/>
      <x:c r="BD28" s="582"/>
    </x:row>
    <x:row r="29" ht="19" customHeight="1">
      <x:c r="B29" s="509">
        <x:v>28</x:v>
      </x:c>
      <x:c r="C29" s="580">
        <x:v>285.55</x:v>
      </x:c>
      <x:c r="D29" s="580">
        <x:v>145.62</x:v>
      </x:c>
      <x:c r="E29" s="580">
        <x:v>308.01</x:v>
      </x:c>
      <x:c r="F29" s="580">
        <x:v>569.32000000000005</x:v>
      </x:c>
      <x:c r="G29" s="580">
        <x:v>445.77</x:v>
      </x:c>
      <x:c r="H29" s="580">
        <x:v>353.1</x:v>
      </x:c>
      <x:c r="I29" s="580">
        <x:v>136.80000000000001</x:v>
      </x:c>
      <x:c r="J29" s="580">
        <x:v>367.08</x:v>
      </x:c>
      <x:c r="K29" s="580">
        <x:v>537.77</x:v>
      </x:c>
      <x:c r="L29" s="580">
        <x:v>549.11</x:v>
      </x:c>
      <x:c r="M29" s="580">
        <x:v>248.81</x:v>
      </x:c>
      <x:c r="N29" s="580">
        <x:v>197.3</x:v>
      </x:c>
      <x:c r="O29" s="580">
        <x:v>254.66</x:v>
      </x:c>
      <x:c r="P29" s="580">
        <x:v>172.9</x:v>
      </x:c>
      <x:c r="Q29" s="580">
        <x:v>275.41000000000003</x:v>
      </x:c>
      <x:c r="R29" s="580">
        <x:v>477.93</x:v>
      </x:c>
      <x:c r="S29" s="580">
        <x:v>917.91</x:v>
      </x:c>
      <x:c r="T29" s="580">
        <x:v>445.73</x:v>
      </x:c>
      <x:c r="U29" s="580">
        <x:v>193.68</x:v>
      </x:c>
      <x:c r="V29" s="580">
        <x:v>254.64</x:v>
      </x:c>
      <x:c r="W29" s="580">
        <x:v>222.9</x:v>
      </x:c>
      <x:c r="X29" s="580">
        <x:v>220.92</x:v>
      </x:c>
      <x:c r="Y29" s="580">
        <x:v>271.41000000000003</x:v>
      </x:c>
      <x:c r="Z29" s="580">
        <x:v>436.64</x:v>
      </x:c>
      <x:c r="AA29" s="581">
        <x:v>260.05</x:v>
      </x:c>
      <x:c r="AB29" s="580">
        <x:v>153.91999999999999</x:v>
      </x:c>
      <x:c r="AC29" s="580">
        <x:v>194.6</x:v>
      </x:c>
      <x:c r="AD29" s="580">
        <x:v>361.89</x:v>
      </x:c>
      <x:c r="AE29" s="580">
        <x:v>380.05</x:v>
      </x:c>
      <x:c r="AF29" s="580">
        <x:v>406.82</x:v>
      </x:c>
      <x:c r="AG29" s="580">
        <x:v>42</x:v>
      </x:c>
      <x:c r="AH29" s="580">
        <x:v>134.38</x:v>
      </x:c>
      <x:c r="AI29" s="580">
        <x:v>349.54</x:v>
      </x:c>
      <x:c r="AJ29" s="580">
        <x:v>175.71</x:v>
      </x:c>
      <x:c r="AK29" s="580">
        <x:v>166.99</x:v>
      </x:c>
      <x:c r="AL29" s="580">
        <x:v>220.5</x:v>
      </x:c>
      <x:c r="AM29" s="580">
        <x:v>437.5</x:v>
      </x:c>
      <x:c r="AN29" s="580"/>
      <x:c r="AO29" s="580"/>
      <x:c r="AP29" s="580"/>
      <x:c r="AQ29" s="580"/>
      <x:c r="AR29" s="580"/>
      <x:c r="AS29" s="580"/>
      <x:c r="AT29" s="580"/>
      <x:c r="AU29" s="580"/>
      <x:c r="AV29" s="580"/>
      <x:c r="AW29" s="580"/>
      <x:c r="AX29" s="580"/>
      <x:c r="AY29" s="580"/>
      <x:c r="AZ29" s="580"/>
      <x:c r="BA29" s="580"/>
      <x:c r="BB29" s="580"/>
      <x:c r="BC29" s="580"/>
      <x:c r="BD29" s="582"/>
    </x:row>
    <x:row r="30" ht="19" customHeight="1">
      <x:c r="B30" s="509">
        <x:v>29</x:v>
      </x:c>
      <x:c r="C30" s="580">
        <x:v>240.39</x:v>
      </x:c>
      <x:c r="D30" s="580">
        <x:v>231.5</x:v>
      </x:c>
      <x:c r="E30" s="580">
        <x:v>348.31</x:v>
      </x:c>
      <x:c r="F30" s="580">
        <x:v>350.53</x:v>
      </x:c>
      <x:c r="G30" s="580">
        <x:v>654.32000000000005</x:v>
      </x:c>
      <x:c r="H30" s="580">
        <x:v>415.41</x:v>
      </x:c>
      <x:c r="I30" s="580">
        <x:v>141</x:v>
      </x:c>
      <x:c r="J30" s="580">
        <x:v>185</x:v>
      </x:c>
      <x:c r="K30" s="580">
        <x:v>175.97</x:v>
      </x:c>
      <x:c r="L30" s="580">
        <x:v>278.20999999999998</x:v>
      </x:c>
      <x:c r="M30" s="580">
        <x:v>270.39</x:v>
      </x:c>
      <x:c r="N30" s="580">
        <x:v>137.9</x:v>
      </x:c>
      <x:c r="O30" s="580">
        <x:v>103.01</x:v>
      </x:c>
      <x:c r="P30" s="580">
        <x:v>235.01</x:v>
      </x:c>
      <x:c r="Q30" s="580">
        <x:v>213.71</x:v>
      </x:c>
      <x:c r="R30" s="580">
        <x:v>337.13</x:v>
      </x:c>
      <x:c r="S30" s="580">
        <x:v>255.97</x:v>
      </x:c>
      <x:c r="T30" s="580">
        <x:v>7</x:v>
      </x:c>
      <x:c r="U30" s="580">
        <x:v>154.5</x:v>
      </x:c>
      <x:c r="V30" s="580">
        <x:v>224.4</x:v>
      </x:c>
      <x:c r="W30" s="580">
        <x:v>252.94</x:v>
      </x:c>
      <x:c r="X30" s="580">
        <x:v>119.91</x:v>
      </x:c>
      <x:c r="Y30" s="580">
        <x:v>142.31</x:v>
      </x:c>
      <x:c r="Z30" s="580">
        <x:v>57.91</x:v>
      </x:c>
      <x:c r="AA30" s="581">
        <x:v>84.91</x:v>
      </x:c>
      <x:c r="AB30" s="580">
        <x:v>139.35</x:v>
      </x:c>
      <x:c r="AC30" s="580">
        <x:v>559.19000000000005</x:v>
      </x:c>
      <x:c r="AD30" s="580">
        <x:v>430.91</x:v>
      </x:c>
      <x:c r="AE30" s="580">
        <x:v>288.25</x:v>
      </x:c>
      <x:c r="AF30" s="580">
        <x:v>371.83</x:v>
      </x:c>
      <x:c r="AG30" s="580">
        <x:v>152.56</x:v>
      </x:c>
      <x:c r="AH30" s="580">
        <x:v>98</x:v>
      </x:c>
      <x:c r="AI30" s="580">
        <x:v>346.32</x:v>
      </x:c>
      <x:c r="AJ30" s="580">
        <x:v>153</x:v>
      </x:c>
      <x:c r="AK30" s="580">
        <x:v>149.33000000000001</x:v>
      </x:c>
      <x:c r="AL30" s="580">
        <x:v>153.6</x:v>
      </x:c>
      <x:c r="AM30" s="580">
        <x:v>337.4</x:v>
      </x:c>
      <x:c r="AN30" s="580"/>
      <x:c r="AO30" s="580"/>
      <x:c r="AP30" s="580"/>
      <x:c r="AQ30" s="580"/>
      <x:c r="AR30" s="580"/>
      <x:c r="AS30" s="580"/>
      <x:c r="AT30" s="580"/>
      <x:c r="AU30" s="580"/>
      <x:c r="AV30" s="580"/>
      <x:c r="AW30" s="580"/>
      <x:c r="AX30" s="580"/>
      <x:c r="AY30" s="580"/>
      <x:c r="AZ30" s="580"/>
      <x:c r="BA30" s="580"/>
      <x:c r="BB30" s="580"/>
      <x:c r="BC30" s="580"/>
      <x:c r="BD30" s="582"/>
    </x:row>
    <x:row r="31" ht="19" customHeight="1">
      <x:c r="B31" s="509">
        <x:v>30</x:v>
      </x:c>
      <x:c r="C31" s="580">
        <x:v>46</x:v>
      </x:c>
      <x:c r="D31" s="580">
        <x:v>20</x:v>
      </x:c>
      <x:c r="E31" s="580">
        <x:v>26</x:v>
      </x:c>
      <x:c r="F31" s="580">
        <x:v>37.06</x:v>
      </x:c>
      <x:c r="G31" s="580">
        <x:v>192.82</x:v>
      </x:c>
      <x:c r="H31" s="580">
        <x:v>156</x:v>
      </x:c>
      <x:c r="I31" s="580">
        <x:v>19.91</x:v>
      </x:c>
      <x:c r="J31" s="580">
        <x:v>33.96</x:v>
      </x:c>
      <x:c r="K31" s="580">
        <x:v>349.9</x:v>
      </x:c>
      <x:c r="L31" s="580">
        <x:v>196.78</x:v>
      </x:c>
      <x:c r="M31" s="580">
        <x:v>187.37</x:v>
      </x:c>
      <x:c r="N31" s="580">
        <x:v>159.69</x:v>
      </x:c>
      <x:c r="O31" s="580">
        <x:v>288.41000000000003</x:v>
      </x:c>
      <x:c r="P31" s="580">
        <x:v>209.41</x:v>
      </x:c>
      <x:c r="Q31" s="580">
        <x:v>274</x:v>
      </x:c>
      <x:c r="R31" s="580">
        <x:v>399.12</x:v>
      </x:c>
      <x:c r="S31" s="580">
        <x:v>571.63</x:v>
      </x:c>
      <x:c r="T31" s="580">
        <x:v>361.23</x:v>
      </x:c>
      <x:c r="U31" s="580">
        <x:v>311.92</x:v>
      </x:c>
      <x:c r="V31" s="580">
        <x:v>370.81</x:v>
      </x:c>
      <x:c r="W31" s="580">
        <x:v>225.51</x:v>
      </x:c>
      <x:c r="X31" s="580">
        <x:v>114.33</x:v>
      </x:c>
      <x:c r="Y31" s="580">
        <x:v>70.91</x:v>
      </x:c>
      <x:c r="Z31" s="580">
        <x:v>153.82</x:v>
      </x:c>
      <x:c r="AA31" s="581">
        <x:v>116</x:v>
      </x:c>
      <x:c r="AB31" s="580">
        <x:v>213.82</x:v>
      </x:c>
      <x:c r="AC31" s="580">
        <x:v>430.77</x:v>
      </x:c>
      <x:c r="AD31" s="580">
        <x:v>509.31</x:v>
      </x:c>
      <x:c r="AE31" s="580">
        <x:v>745.63</x:v>
      </x:c>
      <x:c r="AF31" s="580">
        <x:v>357.28</x:v>
      </x:c>
      <x:c r="AG31" s="580">
        <x:v>141.33000000000001</x:v>
      </x:c>
      <x:c r="AH31" s="580">
        <x:v>349.6</x:v>
      </x:c>
      <x:c r="AI31" s="580">
        <x:v>335.29</x:v>
      </x:c>
      <x:c r="AJ31" s="580">
        <x:v>332.2</x:v>
      </x:c>
      <x:c r="AK31" s="580">
        <x:v>345.78</x:v>
      </x:c>
      <x:c r="AL31" s="580">
        <x:v>472.13</x:v>
      </x:c>
      <x:c r="AM31" s="580">
        <x:v>1114.07</x:v>
      </x:c>
      <x:c r="AN31" s="580"/>
      <x:c r="AO31" s="580"/>
      <x:c r="AP31" s="580"/>
      <x:c r="AQ31" s="580"/>
      <x:c r="AR31" s="580"/>
      <x:c r="AS31" s="580"/>
      <x:c r="AT31" s="580"/>
      <x:c r="AU31" s="580"/>
      <x:c r="AV31" s="580"/>
      <x:c r="AW31" s="580"/>
      <x:c r="AX31" s="580"/>
      <x:c r="AY31" s="580"/>
      <x:c r="AZ31" s="580"/>
      <x:c r="BA31" s="580"/>
      <x:c r="BB31" s="580"/>
      <x:c r="BC31" s="580"/>
      <x:c r="BD31" s="582"/>
    </x:row>
    <x:row r="32" ht="19" customHeight="1">
      <x:c r="B32" s="509">
        <x:v>31</x:v>
      </x:c>
      <x:c r="C32" s="580">
        <x:v>37.5</x:v>
      </x:c>
      <x:c r="D32" s="580">
        <x:v>20.2</x:v>
      </x:c>
      <x:c r="E32" s="580">
        <x:v>42.1</x:v>
      </x:c>
      <x:c r="F32" s="580">
        <x:v>183.88</x:v>
      </x:c>
      <x:c r="G32" s="580">
        <x:v>277.76</x:v>
      </x:c>
      <x:c r="H32" s="580">
        <x:v>144.31</x:v>
      </x:c>
      <x:c r="I32" s="580">
        <x:v>165.38126</x:v>
      </x:c>
      <x:c r="J32" s="580">
        <x:v>126</x:v>
      </x:c>
      <x:c r="K32" s="580">
        <x:v>70.989999999999995</x:v>
      </x:c>
      <x:c r="L32" s="580">
        <x:v>164.48</x:v>
      </x:c>
      <x:c r="M32" s="580">
        <x:v>165.12</x:v>
      </x:c>
      <x:c r="N32" s="580">
        <x:v>352.39</x:v>
      </x:c>
      <x:c r="O32" s="580">
        <x:v>260.83</x:v>
      </x:c>
      <x:c r="P32" s="580">
        <x:v>523.91999999999996</x:v>
      </x:c>
      <x:c r="Q32" s="580">
        <x:v>223.226</x:v>
      </x:c>
      <x:c r="R32" s="580">
        <x:v>277.23</x:v>
      </x:c>
      <x:c r="S32" s="580">
        <x:v>330.37</x:v>
      </x:c>
      <x:c r="T32" s="580">
        <x:v>379.04</x:v>
      </x:c>
      <x:c r="U32" s="580">
        <x:v>151.5</x:v>
      </x:c>
      <x:c r="V32" s="580">
        <x:v>41.91</x:v>
      </x:c>
      <x:c r="W32" s="580">
        <x:v>113</x:v>
      </x:c>
      <x:c r="X32" s="580">
        <x:v>22</x:v>
      </x:c>
      <x:c r="Y32" s="580">
        <x:v>36.5</x:v>
      </x:c>
      <x:c r="Z32" s="580">
        <x:v>76</x:v>
      </x:c>
      <x:c r="AA32" s="581">
        <x:v>275.91000000000003</x:v>
      </x:c>
      <x:c r="AB32" s="580">
        <x:v>547.16999999999996</x:v>
      </x:c>
      <x:c r="AC32" s="580">
        <x:v>987.96</x:v>
      </x:c>
      <x:c r="AD32" s="580">
        <x:v>403.93</x:v>
      </x:c>
      <x:c r="AE32" s="580">
        <x:v>127.78</x:v>
      </x:c>
      <x:c r="AF32" s="580">
        <x:v>63.82</x:v>
      </x:c>
      <x:c r="AG32" s="580">
        <x:v>98</x:v>
      </x:c>
      <x:c r="AH32" s="580">
        <x:v>205.32</x:v>
      </x:c>
      <x:c r="AI32" s="580">
        <x:v>398.12</x:v>
      </x:c>
      <x:c r="AJ32" s="580">
        <x:v>588.66999999999996</x:v>
      </x:c>
      <x:c r="AK32" s="580">
        <x:v>322.3</x:v>
      </x:c>
      <x:c r="AL32" s="580">
        <x:v>393.5</x:v>
      </x:c>
      <x:c r="AM32" s="580">
        <x:v>379.46</x:v>
      </x:c>
      <x:c r="AN32" s="580"/>
      <x:c r="AO32" s="580"/>
      <x:c r="AP32" s="580"/>
      <x:c r="AQ32" s="580"/>
      <x:c r="AR32" s="580"/>
      <x:c r="AS32" s="580"/>
      <x:c r="AT32" s="580"/>
      <x:c r="AU32" s="580"/>
      <x:c r="AV32" s="580"/>
      <x:c r="AW32" s="580"/>
      <x:c r="AX32" s="580"/>
      <x:c r="AY32" s="580"/>
      <x:c r="AZ32" s="580"/>
      <x:c r="BA32" s="580"/>
      <x:c r="BB32" s="580"/>
      <x:c r="BC32" s="580"/>
      <x:c r="BD32" s="582"/>
    </x:row>
    <x:row r="33" ht="19" customHeight="1">
      <x:c r="B33" s="509">
        <x:v>32</x:v>
      </x:c>
      <x:c r="C33" s="580">
        <x:v>173.16</x:v>
      </x:c>
      <x:c r="D33" s="580">
        <x:v>129.6</x:v>
      </x:c>
      <x:c r="E33" s="580">
        <x:v>534.29</x:v>
      </x:c>
      <x:c r="F33" s="580">
        <x:v>423.64</x:v>
      </x:c>
      <x:c r="G33" s="580">
        <x:v>393.4</x:v>
      </x:c>
      <x:c r="H33" s="580">
        <x:v>476.05</x:v>
      </x:c>
      <x:c r="I33" s="580">
        <x:v>136.1</x:v>
      </x:c>
      <x:c r="J33" s="580">
        <x:v>227.69</x:v>
      </x:c>
      <x:c r="K33" s="580">
        <x:v>295.5</x:v>
      </x:c>
      <x:c r="L33" s="580">
        <x:v>651.9</x:v>
      </x:c>
      <x:c r="M33" s="580">
        <x:v>634.77</x:v>
      </x:c>
      <x:c r="N33" s="580">
        <x:v>352.92</x:v>
      </x:c>
      <x:c r="O33" s="580">
        <x:v>486.73</x:v>
      </x:c>
      <x:c r="P33" s="580">
        <x:v>611.73</x:v>
      </x:c>
      <x:c r="Q33" s="580">
        <x:v>663.23</x:v>
      </x:c>
      <x:c r="R33" s="580">
        <x:v>672.82</x:v>
      </x:c>
      <x:c r="S33" s="580">
        <x:v>977.05</x:v>
      </x:c>
      <x:c r="T33" s="580">
        <x:v>1005.13</x:v>
      </x:c>
      <x:c r="U33" s="580">
        <x:v>378.77</x:v>
      </x:c>
      <x:c r="V33" s="580">
        <x:v>300.82</x:v>
      </x:c>
      <x:c r="W33" s="580">
        <x:v>334.81</x:v>
      </x:c>
      <x:c r="X33" s="580">
        <x:v>291.95</x:v>
      </x:c>
      <x:c r="Y33" s="580">
        <x:v>188.59</x:v>
      </x:c>
      <x:c r="Z33" s="580">
        <x:v>230.91</x:v>
      </x:c>
      <x:c r="AA33" s="581">
        <x:v>270.23</x:v>
      </x:c>
      <x:c r="AB33" s="580">
        <x:v>540.29</x:v>
      </x:c>
      <x:c r="AC33" s="580">
        <x:v>506.22</x:v>
      </x:c>
      <x:c r="AD33" s="580">
        <x:v>311.31</x:v>
      </x:c>
      <x:c r="AE33" s="580">
        <x:v>237.58</x:v>
      </x:c>
      <x:c r="AF33" s="580">
        <x:v>259.91000000000003</x:v>
      </x:c>
      <x:c r="AG33" s="580">
        <x:v>287.01</x:v>
      </x:c>
      <x:c r="AH33" s="580">
        <x:v>199.42</x:v>
      </x:c>
      <x:c r="AI33" s="580">
        <x:v>369.06</x:v>
      </x:c>
      <x:c r="AJ33" s="580">
        <x:v>472.91</x:v>
      </x:c>
      <x:c r="AK33" s="580">
        <x:v>608.87</x:v>
      </x:c>
      <x:c r="AL33" s="580">
        <x:v>31.28</x:v>
      </x:c>
      <x:c r="AM33" s="580">
        <x:v>73.5</x:v>
      </x:c>
      <x:c r="AN33" s="580"/>
      <x:c r="AO33" s="580"/>
      <x:c r="AP33" s="580"/>
      <x:c r="AQ33" s="580"/>
      <x:c r="AR33" s="580"/>
      <x:c r="AS33" s="580"/>
      <x:c r="AT33" s="580"/>
      <x:c r="AU33" s="580"/>
      <x:c r="AV33" s="580"/>
      <x:c r="AW33" s="580"/>
      <x:c r="AX33" s="580"/>
      <x:c r="AY33" s="580"/>
      <x:c r="AZ33" s="580"/>
      <x:c r="BA33" s="580"/>
      <x:c r="BB33" s="580"/>
      <x:c r="BC33" s="580"/>
      <x:c r="BD33" s="582"/>
    </x:row>
    <x:row r="34" ht="19" customHeight="1">
      <x:c r="B34" s="509">
        <x:v>33</x:v>
      </x:c>
      <x:c r="C34" s="580">
        <x:v>242.44</x:v>
      </x:c>
      <x:c r="D34" s="580">
        <x:v>218.8</x:v>
      </x:c>
      <x:c r="E34" s="580">
        <x:v>425.59</x:v>
      </x:c>
      <x:c r="F34" s="580">
        <x:v>550.98</x:v>
      </x:c>
      <x:c r="G34" s="580">
        <x:v>919.53</x:v>
      </x:c>
      <x:c r="H34" s="580">
        <x:v>333.02</x:v>
      </x:c>
      <x:c r="I34" s="580">
        <x:v>277.52</x:v>
      </x:c>
      <x:c r="J34" s="580">
        <x:v>227.16</x:v>
      </x:c>
      <x:c r="K34" s="580">
        <x:v>287.82</x:v>
      </x:c>
      <x:c r="L34" s="580">
        <x:v>593.09</x:v>
      </x:c>
      <x:c r="M34" s="580">
        <x:v>731.15</x:v>
      </x:c>
      <x:c r="N34" s="580">
        <x:v>414.36</x:v>
      </x:c>
      <x:c r="O34" s="580">
        <x:v>253.5</x:v>
      </x:c>
      <x:c r="P34" s="580">
        <x:v>672.27</x:v>
      </x:c>
      <x:c r="Q34" s="580">
        <x:v>634.84</x:v>
      </x:c>
      <x:c r="R34" s="580">
        <x:v>380.16</x:v>
      </x:c>
      <x:c r="S34" s="580">
        <x:v>404.06</x:v>
      </x:c>
      <x:c r="T34" s="580">
        <x:v>286.2</x:v>
      </x:c>
      <x:c r="U34" s="580">
        <x:v>299.8</x:v>
      </x:c>
      <x:c r="V34" s="580">
        <x:v>208.02</x:v>
      </x:c>
      <x:c r="W34" s="580">
        <x:v>333.82</x:v>
      </x:c>
      <x:c r="X34" s="580">
        <x:v>130.52000000000001</x:v>
      </x:c>
      <x:c r="Y34" s="580">
        <x:v>229.8</x:v>
      </x:c>
      <x:c r="Z34" s="580">
        <x:v>289.91000000000003</x:v>
      </x:c>
      <x:c r="AA34" s="581">
        <x:v>146.78</x:v>
      </x:c>
      <x:c r="AB34" s="580">
        <x:v>219.55</x:v>
      </x:c>
      <x:c r="AC34" s="580">
        <x:v>660.28</x:v>
      </x:c>
      <x:c r="AD34" s="580">
        <x:v>494.43</x:v>
      </x:c>
      <x:c r="AE34" s="580">
        <x:v>689.92</x:v>
      </x:c>
      <x:c r="AF34" s="580">
        <x:v>845.74</x:v>
      </x:c>
      <x:c r="AG34" s="580">
        <x:v>203.02</x:v>
      </x:c>
      <x:c r="AH34" s="580">
        <x:v>624.54999999999995</x:v>
      </x:c>
      <x:c r="AI34" s="580">
        <x:v>560.65</x:v>
      </x:c>
      <x:c r="AJ34" s="580">
        <x:v>537.58000000000004</x:v>
      </x:c>
      <x:c r="AK34" s="580">
        <x:v>149.33000000000001</x:v>
      </x:c>
      <x:c r="AL34" s="580">
        <x:v>265.91000000000003</x:v>
      </x:c>
      <x:c r="AM34" s="580">
        <x:v>132.09</x:v>
      </x:c>
      <x:c r="AN34" s="580"/>
      <x:c r="AO34" s="580"/>
      <x:c r="AP34" s="580"/>
      <x:c r="AQ34" s="580"/>
      <x:c r="AR34" s="580"/>
      <x:c r="AS34" s="580"/>
      <x:c r="AT34" s="580"/>
      <x:c r="AU34" s="580"/>
      <x:c r="AV34" s="580"/>
      <x:c r="AW34" s="580"/>
      <x:c r="AX34" s="580"/>
      <x:c r="AY34" s="580"/>
      <x:c r="AZ34" s="580"/>
      <x:c r="BA34" s="580"/>
      <x:c r="BB34" s="580"/>
      <x:c r="BC34" s="580"/>
      <x:c r="BD34" s="582"/>
    </x:row>
    <x:row r="35" ht="19" customHeight="1">
      <x:c r="B35" s="509">
        <x:v>34</x:v>
      </x:c>
      <x:c r="C35" s="580">
        <x:v>239.1</x:v>
      </x:c>
      <x:c r="D35" s="580">
        <x:v>145</x:v>
      </x:c>
      <x:c r="E35" s="580">
        <x:v>119.9</x:v>
      </x:c>
      <x:c r="F35" s="580">
        <x:v>284.32</x:v>
      </x:c>
      <x:c r="G35" s="580">
        <x:v>251.55</x:v>
      </x:c>
      <x:c r="H35" s="580">
        <x:v>258.17</x:v>
      </x:c>
      <x:c r="I35" s="580">
        <x:v>113.84</x:v>
      </x:c>
      <x:c r="J35" s="580">
        <x:v>285.68</x:v>
      </x:c>
      <x:c r="K35" s="580">
        <x:v>143.04</x:v>
      </x:c>
      <x:c r="L35" s="580">
        <x:v>385.75</x:v>
      </x:c>
      <x:c r="M35" s="580">
        <x:v>361.37</x:v>
      </x:c>
      <x:c r="N35" s="580">
        <x:v>243.6</x:v>
      </x:c>
      <x:c r="O35" s="580">
        <x:v>218.6</x:v>
      </x:c>
      <x:c r="P35" s="580">
        <x:v>438.95</x:v>
      </x:c>
      <x:c r="Q35" s="580">
        <x:v>268.60000000000002</x:v>
      </x:c>
      <x:c r="R35" s="580">
        <x:v>242.58</x:v>
      </x:c>
      <x:c r="S35" s="580">
        <x:v>486.7</x:v>
      </x:c>
      <x:c r="T35" s="580">
        <x:v>197.42</x:v>
      </x:c>
      <x:c r="U35" s="580">
        <x:v>171.41</x:v>
      </x:c>
      <x:c r="V35" s="580">
        <x:v>265.73</x:v>
      </x:c>
      <x:c r="W35" s="580">
        <x:v>149.5</x:v>
      </x:c>
      <x:c r="X35" s="580">
        <x:v>205.5</x:v>
      </x:c>
      <x:c r="Y35" s="580">
        <x:v>120.62</x:v>
      </x:c>
      <x:c r="Z35" s="580">
        <x:v>439.28</x:v>
      </x:c>
      <x:c r="AA35" s="581">
        <x:v>306.73</x:v>
      </x:c>
      <x:c r="AB35" s="580">
        <x:v>361.84</x:v>
      </x:c>
      <x:c r="AC35" s="580">
        <x:v>314.85000000000002</x:v>
      </x:c>
      <x:c r="AD35" s="580">
        <x:v>340.33</x:v>
      </x:c>
      <x:c r="AE35" s="580">
        <x:v>344.67</x:v>
      </x:c>
      <x:c r="AF35" s="580">
        <x:v>317.11</x:v>
      </x:c>
      <x:c r="AG35" s="580">
        <x:v>102</x:v>
      </x:c>
      <x:c r="AH35" s="580">
        <x:v>165.91</x:v>
      </x:c>
      <x:c r="AI35" s="580">
        <x:v>138.88999999999999</x:v>
      </x:c>
      <x:c r="AJ35" s="580">
        <x:v>146.30000000000001</x:v>
      </x:c>
      <x:c r="AK35" s="580">
        <x:v>345.78</x:v>
      </x:c>
      <x:c r="AL35" s="580">
        <x:v>167.09</x:v>
      </x:c>
      <x:c r="AM35" s="580">
        <x:v>1034.02</x:v>
      </x:c>
      <x:c r="AN35" s="580"/>
      <x:c r="AO35" s="580"/>
      <x:c r="AP35" s="580"/>
      <x:c r="AQ35" s="580"/>
      <x:c r="AR35" s="580"/>
      <x:c r="AS35" s="580"/>
      <x:c r="AT35" s="580"/>
      <x:c r="AU35" s="580"/>
      <x:c r="AV35" s="580"/>
      <x:c r="AW35" s="580"/>
      <x:c r="AX35" s="580"/>
      <x:c r="AY35" s="580"/>
      <x:c r="AZ35" s="580"/>
      <x:c r="BA35" s="580"/>
      <x:c r="BB35" s="580"/>
      <x:c r="BC35" s="580"/>
      <x:c r="BD35" s="582"/>
    </x:row>
    <x:row r="36" ht="19" customHeight="1">
      <x:c r="B36" s="509">
        <x:v>35</x:v>
      </x:c>
      <x:c r="C36" s="580">
        <x:v>131.91</x:v>
      </x:c>
      <x:c r="D36" s="580">
        <x:v>225.46</x:v>
      </x:c>
      <x:c r="E36" s="580">
        <x:v>154.34</x:v>
      </x:c>
      <x:c r="F36" s="580">
        <x:v>79.599999999999994</x:v>
      </x:c>
      <x:c r="G36" s="580">
        <x:v>89</x:v>
      </x:c>
      <x:c r="H36" s="580">
        <x:v>112.9</x:v>
      </x:c>
      <x:c r="I36" s="580">
        <x:v>9</x:v>
      </x:c>
      <x:c r="J36" s="580">
        <x:v>63.5</x:v>
      </x:c>
      <x:c r="K36" s="580">
        <x:v>44.91</x:v>
      </x:c>
      <x:c r="L36" s="580">
        <x:v>53.41</x:v>
      </x:c>
      <x:c r="M36" s="580">
        <x:v>116.7</x:v>
      </x:c>
      <x:c r="N36" s="580">
        <x:v>166.91</x:v>
      </x:c>
      <x:c r="O36" s="580">
        <x:v>32.909999999999997</x:v>
      </x:c>
      <x:c r="P36" s="580">
        <x:v>105.5</x:v>
      </x:c>
      <x:c r="Q36" s="580">
        <x:v>179.42</x:v>
      </x:c>
      <x:c r="R36" s="580">
        <x:v>61.5</x:v>
      </x:c>
      <x:c r="S36" s="580">
        <x:v>175.21</x:v>
      </x:c>
      <x:c r="T36" s="580">
        <x:v>197.59</x:v>
      </x:c>
      <x:c r="U36" s="580">
        <x:v>41</x:v>
      </x:c>
      <x:c r="V36" s="580">
        <x:v>69</x:v>
      </x:c>
      <x:c r="W36" s="580">
        <x:v>152.62</x:v>
      </x:c>
      <x:c r="X36" s="580">
        <x:v>154</x:v>
      </x:c>
      <x:c r="Y36" s="580">
        <x:v>125.98</x:v>
      </x:c>
      <x:c r="Z36" s="580">
        <x:v>238</x:v>
      </x:c>
      <x:c r="AA36" s="581">
        <x:v>188.32</x:v>
      </x:c>
      <x:c r="AB36" s="580">
        <x:v>281.85000000000002</x:v>
      </x:c>
      <x:c r="AC36" s="580">
        <x:v>574.78</x:v>
      </x:c>
      <x:c r="AD36" s="580">
        <x:v>349.31</x:v>
      </x:c>
      <x:c r="AE36" s="580">
        <x:v>530.46</x:v>
      </x:c>
      <x:c r="AF36" s="580">
        <x:v>422.66</x:v>
      </x:c>
      <x:c r="AG36" s="580">
        <x:v>233.31</x:v>
      </x:c>
      <x:c r="AH36" s="580">
        <x:v>271.08</x:v>
      </x:c>
      <x:c r="AI36" s="580">
        <x:v>411.23</x:v>
      </x:c>
      <x:c r="AJ36" s="580">
        <x:v>443.53</x:v>
      </x:c>
      <x:c r="AK36" s="580">
        <x:v>322.3</x:v>
      </x:c>
      <x:c r="AL36" s="580">
        <x:v>490.74</x:v>
      </x:c>
      <x:c r="AM36" s="580">
        <x:v>1220.49</x:v>
      </x:c>
      <x:c r="AN36" s="580"/>
      <x:c r="AO36" s="580"/>
      <x:c r="AP36" s="580"/>
      <x:c r="AQ36" s="580"/>
      <x:c r="AR36" s="580"/>
      <x:c r="AS36" s="580"/>
      <x:c r="AT36" s="580"/>
      <x:c r="AU36" s="580"/>
      <x:c r="AV36" s="580"/>
      <x:c r="AW36" s="580"/>
      <x:c r="AX36" s="580"/>
      <x:c r="AY36" s="580"/>
      <x:c r="AZ36" s="580"/>
      <x:c r="BA36" s="580"/>
      <x:c r="BB36" s="580"/>
      <x:c r="BC36" s="580"/>
      <x:c r="BD36" s="582"/>
    </x:row>
    <x:row r="37" ht="19" customHeight="1">
      <x:c r="B37" s="509">
        <x:v>36</x:v>
      </x:c>
      <x:c r="C37" s="580">
        <x:v>71.41</x:v>
      </x:c>
      <x:c r="D37" s="580">
        <x:v>45</x:v>
      </x:c>
      <x:c r="E37" s="580">
        <x:v>189.21</x:v>
      </x:c>
      <x:c r="F37" s="580">
        <x:v>237.88</x:v>
      </x:c>
      <x:c r="G37" s="580">
        <x:v>180.11</x:v>
      </x:c>
      <x:c r="H37" s="580">
        <x:v>190.09</x:v>
      </x:c>
      <x:c r="I37" s="580">
        <x:v>229.49</x:v>
      </x:c>
      <x:c r="J37" s="580">
        <x:v>173.29</x:v>
      </x:c>
      <x:c r="K37" s="580">
        <x:v>195.69</x:v>
      </x:c>
      <x:c r="L37" s="580">
        <x:v>354.48</x:v>
      </x:c>
      <x:c r="M37" s="580">
        <x:v>222.88</x:v>
      </x:c>
      <x:c r="N37" s="580">
        <x:v>301.35000000000002</x:v>
      </x:c>
      <x:c r="O37" s="580">
        <x:v>196.6</x:v>
      </x:c>
      <x:c r="P37" s="580">
        <x:v>498.94</x:v>
      </x:c>
      <x:c r="Q37" s="580">
        <x:v>618.49</x:v>
      </x:c>
      <x:c r="R37" s="580">
        <x:v>366.82</x:v>
      </x:c>
      <x:c r="S37" s="580">
        <x:v>672.64</x:v>
      </x:c>
      <x:c r="T37" s="580">
        <x:v>398.37</x:v>
      </x:c>
      <x:c r="U37" s="580">
        <x:v>193.77</x:v>
      </x:c>
      <x:c r="V37" s="580">
        <x:v>128.72999999999999</x:v>
      </x:c>
      <x:c r="W37" s="580">
        <x:v>273.45999999999998</x:v>
      </x:c>
      <x:c r="X37" s="580">
        <x:v>78</x:v>
      </x:c>
      <x:c r="Y37" s="580">
        <x:v>239.8</x:v>
      </x:c>
      <x:c r="Z37" s="580">
        <x:v>259.73</x:v>
      </x:c>
      <x:c r="AA37" s="581">
        <x:v>221</x:v>
      </x:c>
      <x:c r="AB37" s="580">
        <x:v>599.24</x:v>
      </x:c>
      <x:c r="AC37" s="580">
        <x:v>1217.93</x:v>
      </x:c>
      <x:c r="AD37" s="580">
        <x:v>982.91</x:v>
      </x:c>
      <x:c r="AE37" s="580">
        <x:v>858.03</x:v>
      </x:c>
      <x:c r="AF37" s="580">
        <x:v>949.79</x:v>
      </x:c>
      <x:c r="AG37" s="580">
        <x:v>538.96</x:v>
      </x:c>
      <x:c r="AH37" s="580">
        <x:v>1084.3399999999999</x:v>
      </x:c>
      <x:c r="AI37" s="580">
        <x:v>877.43</x:v>
      </x:c>
      <x:c r="AJ37" s="580">
        <x:v>1005.53</x:v>
      </x:c>
      <x:c r="AK37" s="580">
        <x:v>608.87</x:v>
      </x:c>
      <x:c r="AL37" s="580">
        <x:v>1096</x:v>
      </x:c>
      <x:c r="AM37" s="580">
        <x:v>444.91</x:v>
      </x:c>
      <x:c r="AN37" s="580"/>
      <x:c r="AO37" s="580"/>
      <x:c r="AP37" s="580"/>
      <x:c r="AQ37" s="580"/>
      <x:c r="AR37" s="580"/>
      <x:c r="AS37" s="580"/>
      <x:c r="AT37" s="580"/>
      <x:c r="AU37" s="580"/>
      <x:c r="AV37" s="580"/>
      <x:c r="AW37" s="580"/>
      <x:c r="AX37" s="580"/>
      <x:c r="AY37" s="580"/>
      <x:c r="AZ37" s="580"/>
      <x:c r="BA37" s="580"/>
      <x:c r="BB37" s="580"/>
      <x:c r="BC37" s="580"/>
      <x:c r="BD37" s="582"/>
    </x:row>
    <x:row r="38" ht="19" customHeight="1">
      <x:c r="B38" s="509">
        <x:v>37</x:v>
      </x:c>
      <x:c r="C38" s="580">
        <x:v>470.95</x:v>
      </x:c>
      <x:c r="D38" s="580">
        <x:v>319.29000000000002</x:v>
      </x:c>
      <x:c r="E38" s="580">
        <x:v>644.73</x:v>
      </x:c>
      <x:c r="F38" s="580">
        <x:v>1110.3900000000001</x:v>
      </x:c>
      <x:c r="G38" s="580">
        <x:v>1378.34</x:v>
      </x:c>
      <x:c r="H38" s="580">
        <x:v>786.91</x:v>
      </x:c>
      <x:c r="I38" s="580">
        <x:v>505.02</x:v>
      </x:c>
      <x:c r="J38" s="580">
        <x:v>581.91</x:v>
      </x:c>
      <x:c r="K38" s="580">
        <x:v>1114.5999999999999</x:v>
      </x:c>
      <x:c r="L38" s="580">
        <x:v>939.07</x:v>
      </x:c>
      <x:c r="M38" s="580">
        <x:v>589.12</x:v>
      </x:c>
      <x:c r="N38" s="580">
        <x:v>457.65</x:v>
      </x:c>
      <x:c r="O38" s="580">
        <x:v>281.64</x:v>
      </x:c>
      <x:c r="P38" s="580">
        <x:v>436.9</x:v>
      </x:c>
      <x:c r="Q38" s="580">
        <x:v>403.6</x:v>
      </x:c>
      <x:c r="R38" s="580">
        <x:v>530.66</x:v>
      </x:c>
      <x:c r="S38" s="580">
        <x:v>387.17</x:v>
      </x:c>
      <x:c r="T38" s="580">
        <x:v>388.48</x:v>
      </x:c>
      <x:c r="U38" s="580">
        <x:v>73.7</x:v>
      </x:c>
      <x:c r="V38" s="580">
        <x:v>77.44</x:v>
      </x:c>
      <x:c r="W38" s="580">
        <x:v>23</x:v>
      </x:c>
      <x:c r="X38" s="580">
        <x:v>212.73</x:v>
      </x:c>
      <x:c r="Y38" s="580">
        <x:v>582.5</x:v>
      </x:c>
      <x:c r="Z38" s="580">
        <x:v>983.14</x:v>
      </x:c>
      <x:c r="AA38" s="581">
        <x:v>738.01</x:v>
      </x:c>
      <x:c r="AB38" s="580">
        <x:v>1203.04</x:v>
      </x:c>
      <x:c r="AC38" s="580">
        <x:v>1782.61</x:v>
      </x:c>
      <x:c r="AD38" s="580">
        <x:v>1221.96</x:v>
      </x:c>
      <x:c r="AE38" s="580">
        <x:v>1931.23</x:v>
      </x:c>
      <x:c r="AF38" s="580">
        <x:v>1671.71</x:v>
      </x:c>
      <x:c r="AG38" s="580">
        <x:v>624.70000000000005</x:v>
      </x:c>
      <x:c r="AH38" s="580">
        <x:v>435.11</x:v>
      </x:c>
      <x:c r="AI38" s="580">
        <x:v>843.9</x:v>
      </x:c>
      <x:c r="AJ38" s="580">
        <x:v>1104.03</x:v>
      </x:c>
      <x:c r="AK38" s="580">
        <x:v>415.82</x:v>
      </x:c>
      <x:c r="AL38" s="580">
        <x:v>1985.34</x:v>
      </x:c>
      <x:c r="AM38" s="580">
        <x:v>1771.82</x:v>
      </x:c>
      <x:c r="AN38" s="580"/>
      <x:c r="AO38" s="580"/>
      <x:c r="AP38" s="580"/>
      <x:c r="AQ38" s="580"/>
      <x:c r="AR38" s="580"/>
      <x:c r="AS38" s="580"/>
      <x:c r="AT38" s="580"/>
      <x:c r="AU38" s="580"/>
      <x:c r="AV38" s="580"/>
      <x:c r="AW38" s="580"/>
      <x:c r="AX38" s="580"/>
      <x:c r="AY38" s="580"/>
      <x:c r="AZ38" s="580"/>
      <x:c r="BA38" s="580"/>
      <x:c r="BB38" s="580"/>
      <x:c r="BC38" s="580"/>
      <x:c r="BD38" s="582"/>
    </x:row>
    <x:row r="39" ht="19" customHeight="1">
      <x:c r="B39" s="509">
        <x:v>38</x:v>
      </x:c>
      <x:c r="C39" s="580">
        <x:v>68</x:v>
      </x:c>
      <x:c r="D39" s="580">
        <x:v>287.17</x:v>
      </x:c>
      <x:c r="E39" s="580">
        <x:v>255.49</x:v>
      </x:c>
      <x:c r="F39" s="580">
        <x:v>630.49</x:v>
      </x:c>
      <x:c r="G39" s="580">
        <x:v>263.95999999999998</x:v>
      </x:c>
      <x:c r="H39" s="580">
        <x:v>340.31</x:v>
      </x:c>
      <x:c r="I39" s="580">
        <x:v>229.41</x:v>
      </x:c>
      <x:c r="J39" s="580">
        <x:v>249.84</x:v>
      </x:c>
      <x:c r="K39" s="580">
        <x:v>199.48</x:v>
      </x:c>
      <x:c r="L39" s="580">
        <x:v>324.64999999999998</x:v>
      </x:c>
      <x:c r="M39" s="580">
        <x:v>213.97</x:v>
      </x:c>
      <x:c r="N39" s="580">
        <x:v>200.61</x:v>
      </x:c>
      <x:c r="O39" s="580">
        <x:v>119.5</x:v>
      </x:c>
      <x:c r="P39" s="580">
        <x:v>133</x:v>
      </x:c>
      <x:c r="Q39" s="580">
        <x:v>172.61</x:v>
      </x:c>
      <x:c r="R39" s="580">
        <x:v>42.39</x:v>
      </x:c>
      <x:c r="S39" s="580">
        <x:v>173.21</x:v>
      </x:c>
      <x:c r="T39" s="580">
        <x:v>127.87</x:v>
      </x:c>
      <x:c r="U39" s="580">
        <x:v>108.1</x:v>
      </x:c>
      <x:c r="V39" s="580">
        <x:v>30</x:v>
      </x:c>
      <x:c r="W39" s="580">
        <x:v>136.88999999999999</x:v>
      </x:c>
      <x:c r="X39" s="580">
        <x:v>39.5</x:v>
      </x:c>
      <x:c r="Y39" s="580">
        <x:v>110.3</x:v>
      </x:c>
      <x:c r="Z39" s="580">
        <x:v>75</x:v>
      </x:c>
      <x:c r="AA39" s="581">
        <x:v>98</x:v>
      </x:c>
      <x:c r="AB39" s="580">
        <x:v>136</x:v>
      </x:c>
      <x:c r="AC39" s="580">
        <x:v>236.04</x:v>
      </x:c>
      <x:c r="AD39" s="580">
        <x:v>196.73</x:v>
      </x:c>
      <x:c r="AE39" s="580">
        <x:v>362.73</x:v>
      </x:c>
      <x:c r="AF39" s="580">
        <x:v>264.98</x:v>
      </x:c>
      <x:c r="AG39" s="580">
        <x:v>228.82</x:v>
      </x:c>
      <x:c r="AH39" s="580">
        <x:v>425.64</x:v>
      </x:c>
      <x:c r="AI39" s="580">
        <x:v>364.22</x:v>
      </x:c>
      <x:c r="AJ39" s="580">
        <x:v>418.83</x:v>
      </x:c>
      <x:c r="AK39" s="580">
        <x:v>146.51</x:v>
      </x:c>
      <x:c r="AL39" s="580">
        <x:v>579.52</x:v>
      </x:c>
      <x:c r="AM39" s="580">
        <x:v>561.41999999999996</x:v>
      </x:c>
      <x:c r="AN39" s="580"/>
      <x:c r="AO39" s="580"/>
      <x:c r="AP39" s="580"/>
      <x:c r="AQ39" s="580"/>
      <x:c r="AR39" s="580"/>
      <x:c r="AS39" s="580"/>
      <x:c r="AT39" s="580"/>
      <x:c r="AU39" s="580"/>
      <x:c r="AV39" s="580"/>
      <x:c r="AW39" s="580"/>
      <x:c r="AX39" s="580"/>
      <x:c r="AY39" s="580"/>
      <x:c r="AZ39" s="580"/>
      <x:c r="BA39" s="580"/>
      <x:c r="BB39" s="580"/>
      <x:c r="BC39" s="580"/>
      <x:c r="BD39" s="582"/>
    </x:row>
    <x:row r="40" ht="19" customHeight="1">
      <x:c r="B40" s="509">
        <x:v>39</x:v>
      </x:c>
      <x:c r="C40" s="584"/>
      <x:c r="D40" s="584"/>
      <x:c r="E40" s="584"/>
      <x:c r="F40" s="580">
        <x:v>384.7</x:v>
      </x:c>
      <x:c r="G40" s="580">
        <x:v>749.1</x:v>
      </x:c>
      <x:c r="H40" s="580">
        <x:v>562.23</x:v>
      </x:c>
      <x:c r="I40" s="580">
        <x:v>367.72</x:v>
      </x:c>
      <x:c r="J40" s="580">
        <x:v>337.04</x:v>
      </x:c>
      <x:c r="K40" s="580">
        <x:v>612.44000000000005</x:v>
      </x:c>
      <x:c r="L40" s="580">
        <x:v>552.1</x:v>
      </x:c>
      <x:c r="M40" s="580">
        <x:v>649.73</x:v>
      </x:c>
      <x:c r="N40" s="580">
        <x:v>279.60000000000002</x:v>
      </x:c>
      <x:c r="O40" s="580">
        <x:v>403</x:v>
      </x:c>
      <x:c r="P40" s="580">
        <x:v>614.62</x:v>
      </x:c>
      <x:c r="Q40" s="580">
        <x:v>419.2</x:v>
      </x:c>
      <x:c r="R40" s="580">
        <x:v>365.23</x:v>
      </x:c>
      <x:c r="S40" s="580">
        <x:v>489.04</x:v>
      </x:c>
      <x:c r="T40" s="580">
        <x:v>396.2</x:v>
      </x:c>
      <x:c r="U40" s="580">
        <x:v>202.66</x:v>
      </x:c>
      <x:c r="V40" s="580">
        <x:v>352.63</x:v>
      </x:c>
      <x:c r="W40" s="580">
        <x:v>672.3</x:v>
      </x:c>
      <x:c r="X40" s="580">
        <x:v>275.82</x:v>
      </x:c>
      <x:c r="Y40" s="580">
        <x:v>543.19000000000005</x:v>
      </x:c>
      <x:c r="Z40" s="580">
        <x:v>602.37</x:v>
      </x:c>
      <x:c r="AA40" s="581">
        <x:v>328.91</x:v>
      </x:c>
      <x:c r="AB40" s="580">
        <x:v>582.5</x:v>
      </x:c>
      <x:c r="AC40" s="580">
        <x:v>1747.28</x:v>
      </x:c>
      <x:c r="AD40" s="580">
        <x:v>1572.19</x:v>
      </x:c>
      <x:c r="AE40" s="580">
        <x:v>1277.24</x:v>
      </x:c>
      <x:c r="AF40" s="580">
        <x:v>1169.56</x:v>
      </x:c>
      <x:c r="AG40" s="580">
        <x:v>1193.57</x:v>
      </x:c>
      <x:c r="AH40" s="580">
        <x:v>1115.4000000000001</x:v>
      </x:c>
      <x:c r="AI40" s="580">
        <x:v>1867.96</x:v>
      </x:c>
      <x:c r="AJ40" s="580">
        <x:v>1683.34</x:v>
      </x:c>
      <x:c r="AK40" s="580">
        <x:v>355.73</x:v>
      </x:c>
      <x:c r="AL40" s="580">
        <x:v>2234.42</x:v>
      </x:c>
      <x:c r="AM40" s="580">
        <x:v>423.31</x:v>
      </x:c>
      <x:c r="AN40" s="580"/>
      <x:c r="AO40" s="580"/>
      <x:c r="AP40" s="580"/>
      <x:c r="AQ40" s="580"/>
      <x:c r="AR40" s="580"/>
      <x:c r="AS40" s="580"/>
      <x:c r="AT40" s="580"/>
      <x:c r="AU40" s="580"/>
      <x:c r="AV40" s="580"/>
      <x:c r="AW40" s="580"/>
      <x:c r="AX40" s="580"/>
      <x:c r="AY40" s="580"/>
      <x:c r="AZ40" s="580"/>
      <x:c r="BA40" s="580"/>
      <x:c r="BB40" s="580"/>
      <x:c r="BC40" s="580"/>
      <x:c r="BD40" s="582"/>
    </x:row>
    <x:row r="41" ht="19" customHeight="1">
      <x:c r="B41" s="509">
        <x:v>40</x:v>
      </x:c>
      <x:c r="C41" s="584"/>
      <x:c r="D41" s="584"/>
      <x:c r="E41" s="584"/>
      <x:c r="F41" s="580">
        <x:v>44.22</x:v>
      </x:c>
      <x:c r="G41" s="580">
        <x:v>1099.8900000000001</x:v>
      </x:c>
      <x:c r="H41" s="580">
        <x:v>287.81</x:v>
      </x:c>
      <x:c r="I41" s="580">
        <x:v>613.14</x:v>
      </x:c>
      <x:c r="J41" s="580">
        <x:v>407.87</x:v>
      </x:c>
      <x:c r="K41" s="580">
        <x:v>247.96</x:v>
      </x:c>
      <x:c r="L41" s="580">
        <x:v>405.38</x:v>
      </x:c>
      <x:c r="M41" s="580">
        <x:v>456.51</x:v>
      </x:c>
      <x:c r="N41" s="580">
        <x:v>309.39999999999998</x:v>
      </x:c>
      <x:c r="O41" s="580">
        <x:v>502.9</x:v>
      </x:c>
      <x:c r="P41" s="580">
        <x:v>464.69</x:v>
      </x:c>
      <x:c r="Q41" s="580">
        <x:v>476.91</x:v>
      </x:c>
      <x:c r="R41" s="580">
        <x:v>426.91</x:v>
      </x:c>
      <x:c r="S41" s="580">
        <x:v>413.28</x:v>
      </x:c>
      <x:c r="T41" s="580">
        <x:v>406.2</x:v>
      </x:c>
      <x:c r="U41" s="580">
        <x:v>371.38</x:v>
      </x:c>
      <x:c r="V41" s="580">
        <x:v>516.05999999999995</x:v>
      </x:c>
      <x:c r="W41" s="580">
        <x:v>515.38</x:v>
      </x:c>
      <x:c r="X41" s="580">
        <x:v>212.79</x:v>
      </x:c>
      <x:c r="Y41" s="580">
        <x:v>208.23</x:v>
      </x:c>
      <x:c r="Z41" s="580">
        <x:v>165.02</x:v>
      </x:c>
      <x:c r="AA41" s="581">
        <x:v>100.5</x:v>
      </x:c>
      <x:c r="AB41" s="580">
        <x:v>469.88</x:v>
      </x:c>
      <x:c r="AC41" s="580">
        <x:v>420.15</x:v>
      </x:c>
      <x:c r="AD41" s="580">
        <x:v>318.26</x:v>
      </x:c>
      <x:c r="AE41" s="580">
        <x:v>524.11</x:v>
      </x:c>
      <x:c r="AF41" s="580">
        <x:v>427.79</x:v>
      </x:c>
      <x:c r="AG41" s="580">
        <x:v>82.51</x:v>
      </x:c>
      <x:c r="AH41" s="580">
        <x:v>302.08</x:v>
      </x:c>
      <x:c r="AI41" s="580">
        <x:v>442.35</x:v>
      </x:c>
      <x:c r="AJ41" s="580">
        <x:v>592.98</x:v>
      </x:c>
      <x:c r="AK41" s="580">
        <x:v>753.01</x:v>
      </x:c>
      <x:c r="AL41" s="580">
        <x:v>803.8</x:v>
      </x:c>
      <x:c r="AM41" s="580">
        <x:v>1573.46</x:v>
      </x:c>
      <x:c r="AN41" s="580"/>
      <x:c r="AO41" s="580"/>
      <x:c r="AP41" s="580"/>
      <x:c r="AQ41" s="580"/>
      <x:c r="AR41" s="580"/>
      <x:c r="AS41" s="580"/>
      <x:c r="AT41" s="580"/>
      <x:c r="AU41" s="580"/>
      <x:c r="AV41" s="580"/>
      <x:c r="AW41" s="580"/>
      <x:c r="AX41" s="580"/>
      <x:c r="AY41" s="580"/>
      <x:c r="AZ41" s="580"/>
      <x:c r="BA41" s="580"/>
      <x:c r="BB41" s="580"/>
      <x:c r="BC41" s="580"/>
      <x:c r="BD41" s="582"/>
    </x:row>
    <x:row r="42" ht="19" customHeight="1">
      <x:c r="B42" s="509">
        <x:v>41</x:v>
      </x:c>
      <x:c r="C42" s="584"/>
      <x:c r="D42" s="584"/>
      <x:c r="E42" s="584"/>
      <x:c r="F42" s="584"/>
      <x:c r="G42" s="584"/>
      <x:c r="H42" s="584"/>
      <x:c r="I42" s="580">
        <x:v>426.19</x:v>
      </x:c>
      <x:c r="J42" s="580">
        <x:v>645.02</x:v>
      </x:c>
      <x:c r="K42" s="580">
        <x:v>693.2</x:v>
      </x:c>
      <x:c r="L42" s="580">
        <x:v>1200.01</x:v>
      </x:c>
      <x:c r="M42" s="580">
        <x:v>1423.17</x:v>
      </x:c>
      <x:c r="N42" s="580">
        <x:v>1049.25</x:v>
      </x:c>
      <x:c r="O42" s="580">
        <x:v>734.49</x:v>
      </x:c>
      <x:c r="P42" s="580">
        <x:v>1083.5899999999999</x:v>
      </x:c>
      <x:c r="Q42" s="580">
        <x:v>1318.26</x:v>
      </x:c>
      <x:c r="R42" s="580">
        <x:v>1192.24</x:v>
      </x:c>
      <x:c r="S42" s="580">
        <x:v>1093.71</x:v>
      </x:c>
      <x:c r="T42" s="580">
        <x:v>1112.04</x:v>
      </x:c>
      <x:c r="U42" s="580">
        <x:v>434.35</x:v>
      </x:c>
      <x:c r="V42" s="580">
        <x:v>508.91</x:v>
      </x:c>
      <x:c r="W42" s="580">
        <x:v>586.54</x:v>
      </x:c>
      <x:c r="X42" s="580">
        <x:v>224</x:v>
      </x:c>
      <x:c r="Y42" s="580">
        <x:v>165.91</x:v>
      </x:c>
      <x:c r="Z42" s="580">
        <x:v>188</x:v>
      </x:c>
      <x:c r="AA42" s="581">
        <x:v>386.14</x:v>
      </x:c>
      <x:c r="AB42" s="580">
        <x:v>324.29000000000002</x:v>
      </x:c>
      <x:c r="AC42" s="580">
        <x:v>505.68</x:v>
      </x:c>
      <x:c r="AD42" s="580">
        <x:v>551.09</x:v>
      </x:c>
      <x:c r="AE42" s="580">
        <x:v>483.21</x:v>
      </x:c>
      <x:c r="AF42" s="580">
        <x:v>388.91</x:v>
      </x:c>
      <x:c r="AG42" s="580">
        <x:v>570.45000000000005</x:v>
      </x:c>
      <x:c r="AH42" s="580">
        <x:v>376.7</x:v>
      </x:c>
      <x:c r="AI42" s="580">
        <x:v>435.73</x:v>
      </x:c>
      <x:c r="AJ42" s="580">
        <x:v>319.75</x:v>
      </x:c>
      <x:c r="AK42" s="580">
        <x:v>1008.65</x:v>
      </x:c>
      <x:c r="AL42" s="580">
        <x:v>734.24</x:v>
      </x:c>
      <x:c r="AM42" s="580">
        <x:v>423.31</x:v>
      </x:c>
      <x:c r="AN42" s="580"/>
      <x:c r="AO42" s="580"/>
      <x:c r="AP42" s="580"/>
      <x:c r="AQ42" s="580"/>
      <x:c r="AR42" s="580"/>
      <x:c r="AS42" s="580"/>
      <x:c r="AT42" s="580"/>
      <x:c r="AU42" s="580"/>
      <x:c r="AV42" s="580"/>
      <x:c r="AW42" s="580"/>
      <x:c r="AX42" s="580"/>
      <x:c r="AY42" s="580"/>
      <x:c r="AZ42" s="580"/>
      <x:c r="BA42" s="580"/>
      <x:c r="BB42" s="580"/>
      <x:c r="BC42" s="580"/>
      <x:c r="BD42" s="582"/>
    </x:row>
    <x:row r="43" ht="19" customHeight="1">
      <x:c r="B43" s="509">
        <x:v>42</x:v>
      </x:c>
      <x:c r="C43" s="584"/>
      <x:c r="D43" s="584"/>
      <x:c r="E43" s="584"/>
      <x:c r="F43" s="584"/>
      <x:c r="G43" s="584"/>
      <x:c r="H43" s="584"/>
      <x:c r="I43" s="584"/>
      <x:c r="J43" s="580">
        <x:v>111</x:v>
      </x:c>
      <x:c r="K43" s="580">
        <x:v>151.88999999999999</x:v>
      </x:c>
      <x:c r="L43" s="580">
        <x:v>292.58999999999997</x:v>
      </x:c>
      <x:c r="M43" s="580">
        <x:v>317.93</x:v>
      </x:c>
      <x:c r="N43" s="580">
        <x:v>241.43</x:v>
      </x:c>
      <x:c r="O43" s="580">
        <x:v>218.42</x:v>
      </x:c>
      <x:c r="P43" s="580">
        <x:v>598.33000000000004</x:v>
      </x:c>
      <x:c r="Q43" s="580">
        <x:v>487.89</x:v>
      </x:c>
      <x:c r="R43" s="580">
        <x:v>487.23</x:v>
      </x:c>
      <x:c r="S43" s="580">
        <x:v>638.85</x:v>
      </x:c>
      <x:c r="T43" s="580">
        <x:v>644.70000000000005</x:v>
      </x:c>
      <x:c r="U43" s="580">
        <x:v>84</x:v>
      </x:c>
      <x:c r="V43" s="580">
        <x:v>204.2</x:v>
      </x:c>
      <x:c r="W43" s="580">
        <x:v>137.86000000000001</x:v>
      </x:c>
      <x:c r="X43" s="580">
        <x:v>72.900000000000006</x:v>
      </x:c>
      <x:c r="Y43" s="580">
        <x:v>256.82</x:v>
      </x:c>
      <x:c r="Z43" s="580">
        <x:v>254.64</x:v>
      </x:c>
      <x:c r="AA43" s="581">
        <x:v>357.75</x:v>
      </x:c>
      <x:c r="AB43" s="580">
        <x:v>368.02</x:v>
      </x:c>
      <x:c r="AC43" s="580">
        <x:v>524.04999999999995</x:v>
      </x:c>
      <x:c r="AD43" s="580">
        <x:v>675.05</x:v>
      </x:c>
      <x:c r="AE43" s="580">
        <x:v>664.34</x:v>
      </x:c>
      <x:c r="AF43" s="580">
        <x:v>472.41</x:v>
      </x:c>
      <x:c r="AG43" s="580">
        <x:v>407.81</x:v>
      </x:c>
      <x:c r="AH43" s="580">
        <x:v>313.58</x:v>
      </x:c>
      <x:c r="AI43" s="580">
        <x:v>469.55</x:v>
      </x:c>
      <x:c r="AJ43" s="580">
        <x:v>608.9</x:v>
      </x:c>
      <x:c r="AK43" s="580">
        <x:v>334.43</x:v>
      </x:c>
      <x:c r="AL43" s="580">
        <x:v>2609.33</x:v>
      </x:c>
      <x:c r="AM43" s="580">
        <x:v>1659.36</x:v>
      </x:c>
      <x:c r="AN43" s="580"/>
      <x:c r="AO43" s="580"/>
      <x:c r="AP43" s="580"/>
      <x:c r="AQ43" s="580"/>
      <x:c r="AR43" s="580"/>
      <x:c r="AS43" s="580"/>
      <x:c r="AT43" s="580"/>
      <x:c r="AU43" s="580"/>
      <x:c r="AV43" s="580"/>
      <x:c r="AW43" s="580"/>
      <x:c r="AX43" s="580"/>
      <x:c r="AY43" s="580"/>
      <x:c r="AZ43" s="580"/>
      <x:c r="BA43" s="580"/>
      <x:c r="BB43" s="580"/>
      <x:c r="BC43" s="580"/>
      <x:c r="BD43" s="582"/>
    </x:row>
    <x:row r="44" ht="19" customHeight="1">
      <x:c r="B44" s="509">
        <x:v>43</x:v>
      </x:c>
      <x:c r="C44" s="584"/>
      <x:c r="D44" s="584"/>
      <x:c r="E44" s="584"/>
      <x:c r="F44" s="584"/>
      <x:c r="G44" s="584"/>
      <x:c r="H44" s="584"/>
      <x:c r="I44" s="584"/>
      <x:c r="J44" s="584"/>
      <x:c r="K44" s="584"/>
      <x:c r="L44" s="584"/>
      <x:c r="M44" s="584"/>
      <x:c r="N44" s="584"/>
      <x:c r="O44" s="580">
        <x:v>1740.24</x:v>
      </x:c>
      <x:c r="P44" s="580">
        <x:v>1843.64</x:v>
      </x:c>
      <x:c r="Q44" s="580">
        <x:v>1144.69</x:v>
      </x:c>
      <x:c r="R44" s="580">
        <x:v>1221.81</x:v>
      </x:c>
      <x:c r="S44" s="580">
        <x:v>1493.96</x:v>
      </x:c>
      <x:c r="T44" s="580">
        <x:v>1058.46</x:v>
      </x:c>
      <x:c r="U44" s="580">
        <x:v>418.29</x:v>
      </x:c>
      <x:c r="V44" s="580">
        <x:v>375.64</x:v>
      </x:c>
      <x:c r="W44" s="580">
        <x:v>367.83</x:v>
      </x:c>
      <x:c r="X44" s="580">
        <x:v>333.77</x:v>
      </x:c>
      <x:c r="Y44" s="580">
        <x:v>477.65</x:v>
      </x:c>
      <x:c r="Z44" s="580">
        <x:v>590.16</x:v>
      </x:c>
      <x:c r="AA44" s="581">
        <x:v>581.37</x:v>
      </x:c>
      <x:c r="AB44" s="580">
        <x:v>1226.55</x:v>
      </x:c>
      <x:c r="AC44" s="580">
        <x:v>2105.6799999999998</x:v>
      </x:c>
      <x:c r="AD44" s="580">
        <x:v>1719.9</x:v>
      </x:c>
      <x:c r="AE44" s="580">
        <x:v>1922.31</x:v>
      </x:c>
      <x:c r="AF44" s="580">
        <x:v>1612.81</x:v>
      </x:c>
      <x:c r="AG44" s="580">
        <x:v>920.9</x:v>
      </x:c>
      <x:c r="AH44" s="580">
        <x:v>959.71</x:v>
      </x:c>
      <x:c r="AI44" s="580">
        <x:v>1449.87</x:v>
      </x:c>
      <x:c r="AJ44" s="580">
        <x:v>1769.2</x:v>
      </x:c>
      <x:c r="AK44" s="580">
        <x:v>1182.8</x:v>
      </x:c>
      <x:c r="AL44" s="580">
        <x:v>1009.89</x:v>
      </x:c>
      <x:c r="AM44" s="580">
        <x:v>347.02</x:v>
      </x:c>
      <x:c r="AN44" s="580"/>
      <x:c r="AO44" s="580"/>
      <x:c r="AP44" s="580"/>
      <x:c r="AQ44" s="580"/>
      <x:c r="AR44" s="580"/>
      <x:c r="AS44" s="580"/>
      <x:c r="AT44" s="580"/>
      <x:c r="AU44" s="580"/>
      <x:c r="AV44" s="580"/>
      <x:c r="AW44" s="580"/>
      <x:c r="AX44" s="580"/>
      <x:c r="AY44" s="580"/>
      <x:c r="AZ44" s="580"/>
      <x:c r="BA44" s="580"/>
      <x:c r="BB44" s="580"/>
      <x:c r="BC44" s="580"/>
      <x:c r="BD44" s="582"/>
    </x:row>
    <x:row r="45" ht="19" customHeight="1">
      <x:c r="B45" s="509">
        <x:v>44</x:v>
      </x:c>
      <x:c r="C45" s="584"/>
      <x:c r="D45" s="584"/>
      <x:c r="E45" s="584"/>
      <x:c r="F45" s="584"/>
      <x:c r="G45" s="584"/>
      <x:c r="H45" s="584"/>
      <x:c r="I45" s="584"/>
      <x:c r="J45" s="584"/>
      <x:c r="K45" s="584"/>
      <x:c r="L45" s="580">
        <x:v>353.14</x:v>
      </x:c>
      <x:c r="M45" s="580">
        <x:v>611.34</x:v>
      </x:c>
      <x:c r="N45" s="580">
        <x:v>63.91</x:v>
      </x:c>
      <x:c r="O45" s="580">
        <x:v>64</x:v>
      </x:c>
      <x:c r="P45" s="580">
        <x:v>0</x:v>
      </x:c>
      <x:c r="Q45" s="580">
        <x:v>0</x:v>
      </x:c>
      <x:c r="R45" s="580">
        <x:v>0</x:v>
      </x:c>
      <x:c r="S45" s="580">
        <x:v>14.91</x:v>
      </x:c>
      <x:c r="T45" s="580">
        <x:v>43.99</x:v>
      </x:c>
      <x:c r="U45" s="580">
        <x:v>117.61</x:v>
      </x:c>
      <x:c r="V45" s="580">
        <x:v>86.5</x:v>
      </x:c>
      <x:c r="W45" s="580">
        <x:v>149.81</x:v>
      </x:c>
      <x:c r="X45" s="580">
        <x:v>14</x:v>
      </x:c>
      <x:c r="Y45" s="580">
        <x:v>5</x:v>
      </x:c>
      <x:c r="Z45" s="580">
        <x:v>13</x:v>
      </x:c>
      <x:c r="AA45" s="581">
        <x:v>48</x:v>
      </x:c>
      <x:c r="AB45" s="580">
        <x:v>72.94</x:v>
      </x:c>
      <x:c r="AC45" s="580">
        <x:v>29.82</x:v>
      </x:c>
      <x:c r="AD45" s="580">
        <x:v>124.82</x:v>
      </x:c>
      <x:c r="AE45" s="580">
        <x:v>418.53</x:v>
      </x:c>
      <x:c r="AF45" s="580">
        <x:v>122.43</x:v>
      </x:c>
      <x:c r="AG45" s="580">
        <x:v>186</x:v>
      </x:c>
      <x:c r="AH45" s="580">
        <x:v>223.74</x:v>
      </x:c>
      <x:c r="AI45" s="580">
        <x:v>508.15</x:v>
      </x:c>
      <x:c r="AJ45" s="580">
        <x:v>407.22</x:v>
      </x:c>
      <x:c r="AK45" s="580">
        <x:v>516.82000000000005</x:v>
      </x:c>
      <x:c r="AL45" s="580">
        <x:v>814.78</x:v>
      </x:c>
      <x:c r="AM45" s="580">
        <x:v>1224.07</x:v>
      </x:c>
      <x:c r="AN45" s="580"/>
      <x:c r="AO45" s="580"/>
      <x:c r="AP45" s="580"/>
      <x:c r="AQ45" s="580"/>
      <x:c r="AR45" s="580"/>
      <x:c r="AS45" s="580"/>
      <x:c r="AT45" s="580"/>
      <x:c r="AU45" s="580"/>
      <x:c r="AV45" s="580"/>
      <x:c r="AW45" s="580"/>
      <x:c r="AX45" s="580"/>
      <x:c r="AY45" s="580"/>
      <x:c r="AZ45" s="580"/>
      <x:c r="BA45" s="580"/>
      <x:c r="BB45" s="580"/>
      <x:c r="BC45" s="580"/>
      <x:c r="BD45" s="582"/>
    </x:row>
    <x:row r="46" ht="19" customHeight="1">
      <x:c r="B46" s="509">
        <x:v>45</x:v>
      </x:c>
      <x:c r="C46" s="584"/>
      <x:c r="D46" s="584"/>
      <x:c r="E46" s="584"/>
      <x:c r="F46" s="584"/>
      <x:c r="G46" s="584"/>
      <x:c r="H46" s="584"/>
      <x:c r="I46" s="584"/>
      <x:c r="J46" s="584"/>
      <x:c r="K46" s="584"/>
      <x:c r="L46" s="584"/>
      <x:c r="M46" s="580">
        <x:v>616.26</x:v>
      </x:c>
      <x:c r="N46" s="580">
        <x:v>277.82</x:v>
      </x:c>
      <x:c r="O46" s="580">
        <x:v>332.09</x:v>
      </x:c>
      <x:c r="P46" s="580">
        <x:v>260.48</x:v>
      </x:c>
      <x:c r="Q46" s="580">
        <x:v>310.01</x:v>
      </x:c>
      <x:c r="R46" s="580">
        <x:v>427.95</x:v>
      </x:c>
      <x:c r="S46" s="580">
        <x:v>427.23</x:v>
      </x:c>
      <x:c r="T46" s="580">
        <x:v>156.80000000000001</x:v>
      </x:c>
      <x:c r="U46" s="580">
        <x:v>296.94</x:v>
      </x:c>
      <x:c r="V46" s="580">
        <x:v>229.49</x:v>
      </x:c>
      <x:c r="W46" s="580">
        <x:v>190.3</x:v>
      </x:c>
      <x:c r="X46" s="580">
        <x:v>30</x:v>
      </x:c>
      <x:c r="Y46" s="580">
        <x:v>66.11</x:v>
      </x:c>
      <x:c r="Z46" s="580">
        <x:v>26</x:v>
      </x:c>
      <x:c r="AA46" s="581">
        <x:v>90</x:v>
      </x:c>
      <x:c r="AB46" s="580">
        <x:v>131.31</x:v>
      </x:c>
      <x:c r="AC46" s="580">
        <x:v>303.91000000000003</x:v>
      </x:c>
      <x:c r="AD46" s="580">
        <x:v>154</x:v>
      </x:c>
      <x:c r="AE46" s="580">
        <x:v>233.88</x:v>
      </x:c>
      <x:c r="AF46" s="580">
        <x:v>64</x:v>
      </x:c>
      <x:c r="AG46" s="580">
        <x:v>40.5</x:v>
      </x:c>
      <x:c r="AH46" s="580">
        <x:v>88.5</x:v>
      </x:c>
      <x:c r="AI46" s="580">
        <x:v>223.41</x:v>
      </x:c>
      <x:c r="AJ46" s="580">
        <x:v>396.36</x:v>
      </x:c>
      <x:c r="AK46" s="580">
        <x:v>623.42999999999995</x:v>
      </x:c>
      <x:c r="AL46" s="580">
        <x:v>699.72</x:v>
      </x:c>
      <x:c r="AM46" s="580">
        <x:v>15.2</x:v>
      </x:c>
      <x:c r="AN46" s="580"/>
      <x:c r="AO46" s="580"/>
      <x:c r="AP46" s="580"/>
      <x:c r="AQ46" s="580"/>
      <x:c r="AR46" s="580"/>
      <x:c r="AS46" s="580"/>
      <x:c r="AT46" s="580"/>
      <x:c r="AU46" s="580"/>
      <x:c r="AV46" s="580"/>
      <x:c r="AW46" s="580"/>
      <x:c r="AX46" s="580"/>
      <x:c r="AY46" s="580"/>
      <x:c r="AZ46" s="580"/>
      <x:c r="BA46" s="580"/>
      <x:c r="BB46" s="580"/>
      <x:c r="BC46" s="580"/>
      <x:c r="BD46" s="582"/>
    </x:row>
    <x:row r="47" ht="19" customHeight="1">
      <x:c r="B47" s="509">
        <x:v>46</x:v>
      </x:c>
      <x:c r="C47" s="584"/>
      <x:c r="D47" s="584"/>
      <x:c r="E47" s="584"/>
      <x:c r="F47" s="584"/>
      <x:c r="G47" s="584"/>
      <x:c r="H47" s="584"/>
      <x:c r="I47" s="584"/>
      <x:c r="J47" s="584"/>
      <x:c r="K47" s="584"/>
      <x:c r="L47" s="584"/>
      <x:c r="M47" s="584"/>
      <x:c r="N47" s="584"/>
      <x:c r="O47" s="584"/>
      <x:c r="P47" s="584"/>
      <x:c r="Q47" s="580">
        <x:v>192.49</x:v>
      </x:c>
      <x:c r="R47" s="580">
        <x:v>917.14</x:v>
      </x:c>
      <x:c r="S47" s="580">
        <x:v>678.48</x:v>
      </x:c>
      <x:c r="T47" s="580">
        <x:v>602.47</x:v>
      </x:c>
      <x:c r="U47" s="580">
        <x:v>326.32</x:v>
      </x:c>
      <x:c r="V47" s="580">
        <x:v>818.89</x:v>
      </x:c>
      <x:c r="W47" s="580">
        <x:v>265.63</x:v>
      </x:c>
      <x:c r="X47" s="580">
        <x:v>240.36</x:v>
      </x:c>
      <x:c r="Y47" s="580">
        <x:v>363.82</x:v>
      </x:c>
      <x:c r="Z47" s="580">
        <x:v>943.56</x:v>
      </x:c>
      <x:c r="AA47" s="581">
        <x:v>329.64</x:v>
      </x:c>
      <x:c r="AB47" s="580">
        <x:v>489.81</x:v>
      </x:c>
      <x:c r="AC47" s="580">
        <x:v>1221.05</x:v>
      </x:c>
      <x:c r="AD47" s="580">
        <x:v>753.19</x:v>
      </x:c>
      <x:c r="AE47" s="580">
        <x:v>1243.44</x:v>
      </x:c>
      <x:c r="AF47" s="580">
        <x:v>985.07</x:v>
      </x:c>
      <x:c r="AG47" s="580">
        <x:v>467.19</x:v>
      </x:c>
      <x:c r="AH47" s="580">
        <x:v>869.54</x:v>
      </x:c>
      <x:c r="AI47" s="580">
        <x:v>1412.06</x:v>
      </x:c>
      <x:c r="AJ47" s="580">
        <x:v>762.49</x:v>
      </x:c>
      <x:c r="AK47" s="580">
        <x:v>1057.44</x:v>
      </x:c>
      <x:c r="AL47" s="580">
        <x:v>1098.8900000000001</x:v>
      </x:c>
      <x:c r="AM47" s="580">
        <x:v>559.29999999999995</x:v>
      </x:c>
      <x:c r="AN47" s="580"/>
      <x:c r="AO47" s="580"/>
      <x:c r="AP47" s="580"/>
      <x:c r="AQ47" s="580"/>
      <x:c r="AR47" s="580"/>
      <x:c r="AS47" s="580"/>
      <x:c r="AT47" s="580"/>
      <x:c r="AU47" s="580"/>
      <x:c r="AV47" s="580"/>
      <x:c r="AW47" s="580"/>
      <x:c r="AX47" s="580"/>
      <x:c r="AY47" s="580"/>
      <x:c r="AZ47" s="580"/>
      <x:c r="BA47" s="580"/>
      <x:c r="BB47" s="580"/>
      <x:c r="BC47" s="580"/>
      <x:c r="BD47" s="582"/>
    </x:row>
    <x:row r="48" ht="19" customHeight="1">
      <x:c r="B48" s="509">
        <x:v>47</x:v>
      </x:c>
      <x:c r="C48" s="584"/>
      <x:c r="D48" s="584"/>
      <x:c r="E48" s="584"/>
      <x:c r="F48" s="584"/>
      <x:c r="G48" s="584"/>
      <x:c r="H48" s="584"/>
      <x:c r="I48" s="584"/>
      <x:c r="J48" s="584"/>
      <x:c r="K48" s="584"/>
      <x:c r="L48" s="584"/>
      <x:c r="M48" s="584"/>
      <x:c r="N48" s="584"/>
      <x:c r="O48" s="584"/>
      <x:c r="P48" s="584"/>
      <x:c r="Q48" s="584"/>
      <x:c r="R48" s="580">
        <x:v>15.5</x:v>
      </x:c>
      <x:c r="S48" s="580">
        <x:v>78.430000000000007</x:v>
      </x:c>
      <x:c r="T48" s="580">
        <x:v>20.6</x:v>
      </x:c>
      <x:c r="U48" s="580">
        <x:v>48.52</x:v>
      </x:c>
      <x:c r="V48" s="580">
        <x:v>4</x:v>
      </x:c>
      <x:c r="W48" s="580">
        <x:v>11.2</x:v>
      </x:c>
      <x:c r="X48" s="580">
        <x:v>8</x:v>
      </x:c>
      <x:c r="Y48" s="580">
        <x:v>56</x:v>
      </x:c>
      <x:c r="Z48" s="580">
        <x:v>34.81</x:v>
      </x:c>
      <x:c r="AA48" s="581">
        <x:v>46</x:v>
      </x:c>
      <x:c r="AB48" s="580">
        <x:v>8</x:v>
      </x:c>
      <x:c r="AC48" s="580">
        <x:v>331.11</x:v>
      </x:c>
      <x:c r="AD48" s="580">
        <x:v>128.55000000000001</x:v>
      </x:c>
      <x:c r="AE48" s="580">
        <x:v>122.03</x:v>
      </x:c>
      <x:c r="AF48" s="580">
        <x:v>8</x:v>
      </x:c>
      <x:c r="AG48" s="580">
        <x:v>21</x:v>
      </x:c>
      <x:c r="AH48" s="580">
        <x:v>30</x:v>
      </x:c>
      <x:c r="AI48" s="580">
        <x:v>59</x:v>
      </x:c>
      <x:c r="AJ48" s="580">
        <x:v>14</x:v>
      </x:c>
      <x:c r="AK48" s="580">
        <x:v>962.48</x:v>
      </x:c>
      <x:c r="AL48" s="580">
        <x:v>233</x:v>
      </x:c>
      <x:c r="AM48" s="580">
        <x:v>1396.17</x:v>
      </x:c>
      <x:c r="AN48" s="580"/>
      <x:c r="AO48" s="580"/>
      <x:c r="AP48" s="580"/>
      <x:c r="AQ48" s="580"/>
      <x:c r="AR48" s="580"/>
      <x:c r="AS48" s="580"/>
      <x:c r="AT48" s="580"/>
      <x:c r="AU48" s="580"/>
      <x:c r="AV48" s="580"/>
      <x:c r="AW48" s="580"/>
      <x:c r="AX48" s="580"/>
      <x:c r="AY48" s="580"/>
      <x:c r="AZ48" s="580"/>
      <x:c r="BA48" s="580"/>
      <x:c r="BB48" s="580"/>
      <x:c r="BC48" s="580"/>
      <x:c r="BD48" s="582"/>
    </x:row>
    <x:row r="49" ht="19" customHeight="1">
      <x:c r="B49" s="509">
        <x:v>48</x:v>
      </x:c>
      <x:c r="C49" s="584"/>
      <x:c r="D49" s="584"/>
      <x:c r="E49" s="584"/>
      <x:c r="F49" s="584"/>
      <x:c r="G49" s="584"/>
      <x:c r="H49" s="584"/>
      <x:c r="I49" s="584"/>
      <x:c r="J49" s="584"/>
      <x:c r="K49" s="584"/>
      <x:c r="L49" s="584"/>
      <x:c r="M49" s="584"/>
      <x:c r="N49" s="584"/>
      <x:c r="O49" s="584"/>
      <x:c r="P49" s="584"/>
      <x:c r="Q49" s="584"/>
      <x:c r="R49" s="584"/>
      <x:c r="S49" s="584"/>
      <x:c r="T49" s="580">
        <x:v>931.25</x:v>
      </x:c>
      <x:c r="U49" s="580">
        <x:v>964.84</x:v>
      </x:c>
      <x:c r="V49" s="580">
        <x:v>959.95</x:v>
      </x:c>
      <x:c r="W49" s="580">
        <x:v>502.95</x:v>
      </x:c>
      <x:c r="X49" s="580">
        <x:v>408.91</x:v>
      </x:c>
      <x:c r="Y49" s="580">
        <x:v>256.73</x:v>
      </x:c>
      <x:c r="Z49" s="580">
        <x:v>177.91</x:v>
      </x:c>
      <x:c r="AA49" s="581">
        <x:v>192.5</x:v>
      </x:c>
      <x:c r="AB49" s="580">
        <x:v>600.46</x:v>
      </x:c>
      <x:c r="AC49" s="580">
        <x:v>867.29</x:v>
      </x:c>
      <x:c r="AD49" s="580">
        <x:v>693.44</x:v>
      </x:c>
      <x:c r="AE49" s="580">
        <x:v>1371.21</x:v>
      </x:c>
      <x:c r="AF49" s="580">
        <x:v>788.19</x:v>
      </x:c>
      <x:c r="AG49" s="580">
        <x:v>568.95000000000005</x:v>
      </x:c>
      <x:c r="AH49" s="580">
        <x:v>267.89999999999998</x:v>
      </x:c>
      <x:c r="AI49" s="580">
        <x:v>800.31</x:v>
      </x:c>
      <x:c r="AJ49" s="580">
        <x:v>708.55</x:v>
      </x:c>
      <x:c r="AK49" s="580">
        <x:v>437.79</x:v>
      </x:c>
      <x:c r="AL49" s="580">
        <x:v>622.71</x:v>
      </x:c>
      <x:c r="AM49" s="580">
        <x:v>1355.83</x:v>
      </x:c>
      <x:c r="AN49" s="580"/>
      <x:c r="AO49" s="580"/>
      <x:c r="AP49" s="580"/>
      <x:c r="AQ49" s="580"/>
      <x:c r="AR49" s="580"/>
      <x:c r="AS49" s="580"/>
      <x:c r="AT49" s="580"/>
      <x:c r="AU49" s="580"/>
      <x:c r="AV49" s="580"/>
      <x:c r="AW49" s="580"/>
      <x:c r="AX49" s="580"/>
      <x:c r="AY49" s="580"/>
      <x:c r="AZ49" s="580"/>
      <x:c r="BA49" s="580"/>
      <x:c r="BB49" s="580"/>
      <x:c r="BC49" s="580"/>
      <x:c r="BD49" s="582"/>
    </x:row>
    <x:row r="50" ht="19" customHeight="1">
      <x:c r="B50" s="509">
        <x:v>49</x:v>
      </x:c>
      <x:c r="C50" s="584"/>
      <x:c r="D50" s="584"/>
      <x:c r="E50" s="584"/>
      <x:c r="F50" s="584"/>
      <x:c r="G50" s="584"/>
      <x:c r="H50" s="584"/>
      <x:c r="I50" s="584"/>
      <x:c r="J50" s="584"/>
      <x:c r="K50" s="584"/>
      <x:c r="L50" s="584"/>
      <x:c r="M50" s="584"/>
      <x:c r="N50" s="584"/>
      <x:c r="O50" s="584"/>
      <x:c r="P50" s="584"/>
      <x:c r="Q50" s="584"/>
      <x:c r="R50" s="584"/>
      <x:c r="S50" s="584"/>
      <x:c r="T50" s="580">
        <x:v>367.71</x:v>
      </x:c>
      <x:c r="U50" s="580">
        <x:v>947.95</x:v>
      </x:c>
      <x:c r="V50" s="580">
        <x:v>637.65</x:v>
      </x:c>
      <x:c r="W50" s="580">
        <x:v>718.9</x:v>
      </x:c>
      <x:c r="X50" s="580">
        <x:v>785.82</x:v>
      </x:c>
      <x:c r="Y50" s="580">
        <x:v>415.47</x:v>
      </x:c>
      <x:c r="Z50" s="580">
        <x:v>779.96</x:v>
      </x:c>
      <x:c r="AA50" s="581">
        <x:v>801.04</x:v>
      </x:c>
      <x:c r="AB50" s="580">
        <x:v>796.79</x:v>
      </x:c>
      <x:c r="AC50" s="580">
        <x:v>1065.97</x:v>
      </x:c>
      <x:c r="AD50" s="580">
        <x:v>738.2</x:v>
      </x:c>
      <x:c r="AE50" s="580">
        <x:v>719.09</x:v>
      </x:c>
      <x:c r="AF50" s="580">
        <x:v>563.95000000000005</x:v>
      </x:c>
      <x:c r="AG50" s="580">
        <x:v>270.39999999999998</x:v>
      </x:c>
      <x:c r="AH50" s="580">
        <x:v>483.44</x:v>
      </x:c>
      <x:c r="AI50" s="580">
        <x:v>621.92999999999995</x:v>
      </x:c>
      <x:c r="AJ50" s="580">
        <x:v>999.97</x:v>
      </x:c>
      <x:c r="AK50" s="580">
        <x:v>366.85</x:v>
      </x:c>
      <x:c r="AL50" s="580">
        <x:v>1241.97</x:v>
      </x:c>
      <x:c r="AM50" s="580">
        <x:v>1894.6</x:v>
      </x:c>
      <x:c r="AN50" s="580"/>
      <x:c r="AO50" s="580"/>
      <x:c r="AP50" s="580"/>
      <x:c r="AQ50" s="580"/>
      <x:c r="AR50" s="580"/>
      <x:c r="AS50" s="580"/>
      <x:c r="AT50" s="580"/>
      <x:c r="AU50" s="580"/>
      <x:c r="AV50" s="580"/>
      <x:c r="AW50" s="580"/>
      <x:c r="AX50" s="580"/>
      <x:c r="AY50" s="580"/>
      <x:c r="AZ50" s="580"/>
      <x:c r="BA50" s="580"/>
      <x:c r="BB50" s="580"/>
      <x:c r="BC50" s="580"/>
      <x:c r="BD50" s="582"/>
    </x:row>
    <x:row r="51" ht="19" customHeight="1">
      <x:c r="B51" s="509">
        <x:v>50</x:v>
      </x:c>
      <x:c r="C51" s="584"/>
      <x:c r="D51" s="584"/>
      <x:c r="E51" s="584"/>
      <x:c r="F51" s="584"/>
      <x:c r="G51" s="584"/>
      <x:c r="H51" s="584"/>
      <x:c r="I51" s="584"/>
      <x:c r="J51" s="584"/>
      <x:c r="K51" s="584"/>
      <x:c r="L51" s="584"/>
      <x:c r="M51" s="584"/>
      <x:c r="N51" s="584"/>
      <x:c r="O51" s="584"/>
      <x:c r="P51" s="584"/>
      <x:c r="Q51" s="584"/>
      <x:c r="R51" s="584"/>
      <x:c r="S51" s="584"/>
      <x:c r="T51" s="584"/>
      <x:c r="U51" s="580">
        <x:v>436.69</x:v>
      </x:c>
      <x:c r="V51" s="580">
        <x:v>609.52</x:v>
      </x:c>
      <x:c r="W51" s="580">
        <x:v>582.54</x:v>
      </x:c>
      <x:c r="X51" s="580">
        <x:v>500.33</x:v>
      </x:c>
      <x:c r="Y51" s="580">
        <x:v>559.52</x:v>
      </x:c>
      <x:c r="Z51" s="580">
        <x:v>561.73</x:v>
      </x:c>
      <x:c r="AA51" s="581">
        <x:v>196.39</x:v>
      </x:c>
      <x:c r="AB51" s="580">
        <x:v>340.52</x:v>
      </x:c>
      <x:c r="AC51" s="580">
        <x:v>601.04999999999995</x:v>
      </x:c>
      <x:c r="AD51" s="580">
        <x:v>1005.52</x:v>
      </x:c>
      <x:c r="AE51" s="580">
        <x:v>573.74</x:v>
      </x:c>
      <x:c r="AF51" s="580">
        <x:v>601.79999999999995</x:v>
      </x:c>
      <x:c r="AG51" s="580">
        <x:v>529.24</x:v>
      </x:c>
      <x:c r="AH51" s="580">
        <x:v>687.49</x:v>
      </x:c>
      <x:c r="AI51" s="580">
        <x:v>606.39</x:v>
      </x:c>
      <x:c r="AJ51" s="580">
        <x:v>1199.73</x:v>
      </x:c>
      <x:c r="AK51" s="580">
        <x:v>701.96</x:v>
      </x:c>
      <x:c r="AL51" s="580">
        <x:v>1153.4100000000001</x:v>
      </x:c>
      <x:c r="AM51" s="580">
        <x:v>581.66999999999996</x:v>
      </x:c>
      <x:c r="AN51" s="580"/>
      <x:c r="AO51" s="580"/>
      <x:c r="AP51" s="580"/>
      <x:c r="AQ51" s="580"/>
      <x:c r="AR51" s="580"/>
      <x:c r="AS51" s="580"/>
      <x:c r="AT51" s="580"/>
      <x:c r="AU51" s="580"/>
      <x:c r="AV51" s="580"/>
      <x:c r="AW51" s="580"/>
      <x:c r="AX51" s="580"/>
      <x:c r="AY51" s="580"/>
      <x:c r="AZ51" s="580"/>
      <x:c r="BA51" s="580"/>
      <x:c r="BB51" s="580"/>
      <x:c r="BC51" s="580"/>
      <x:c r="BD51" s="582"/>
    </x:row>
    <x:row r="52" ht="19" customHeight="1">
      <x:c r="B52" s="509">
        <x:v>51</x:v>
      </x:c>
      <x:c r="C52" s="584"/>
      <x:c r="D52" s="584"/>
      <x:c r="E52" s="584"/>
      <x:c r="F52" s="584"/>
      <x:c r="G52" s="584"/>
      <x:c r="H52" s="584"/>
      <x:c r="I52" s="584"/>
      <x:c r="J52" s="584"/>
      <x:c r="K52" s="584"/>
      <x:c r="L52" s="584"/>
      <x:c r="M52" s="584"/>
      <x:c r="N52" s="584"/>
      <x:c r="O52" s="584"/>
      <x:c r="P52" s="584"/>
      <x:c r="Q52" s="584"/>
      <x:c r="R52" s="584"/>
      <x:c r="S52" s="584"/>
      <x:c r="T52" s="584"/>
      <x:c r="U52" s="584"/>
      <x:c r="V52" s="580">
        <x:v>968.11</x:v>
      </x:c>
      <x:c r="W52" s="580">
        <x:v>766.18</x:v>
      </x:c>
      <x:c r="X52" s="580">
        <x:v>512.30999999999995</x:v>
      </x:c>
      <x:c r="Y52" s="580">
        <x:v>573.29</x:v>
      </x:c>
      <x:c r="Z52" s="580">
        <x:v>384.45</x:v>
      </x:c>
      <x:c r="AA52" s="581">
        <x:v>333</x:v>
      </x:c>
      <x:c r="AB52" s="580">
        <x:v>460.24</x:v>
      </x:c>
      <x:c r="AC52" s="580">
        <x:v>806.9</x:v>
      </x:c>
      <x:c r="AD52" s="580">
        <x:v>1033.31</x:v>
      </x:c>
      <x:c r="AE52" s="580">
        <x:v>614.26</x:v>
      </x:c>
      <x:c r="AF52" s="580">
        <x:v>539.91</x:v>
      </x:c>
      <x:c r="AG52" s="580">
        <x:v>228.05</x:v>
      </x:c>
      <x:c r="AH52" s="580">
        <x:v>434.09</x:v>
      </x:c>
      <x:c r="AI52" s="580">
        <x:v>670.18</x:v>
      </x:c>
      <x:c r="AJ52" s="580">
        <x:v>752.2</x:v>
      </x:c>
      <x:c r="AK52" s="580">
        <x:v>668.34</x:v>
      </x:c>
      <x:c r="AL52" s="580">
        <x:v>1098.8599999999999</x:v>
      </x:c>
      <x:c r="AM52" s="580">
        <x:v>393.23</x:v>
      </x:c>
      <x:c r="AN52" s="580"/>
      <x:c r="AO52" s="580"/>
      <x:c r="AP52" s="580"/>
      <x:c r="AQ52" s="580"/>
      <x:c r="AR52" s="580"/>
      <x:c r="AS52" s="580"/>
      <x:c r="AT52" s="580"/>
      <x:c r="AU52" s="580"/>
      <x:c r="AV52" s="580"/>
      <x:c r="AW52" s="580"/>
      <x:c r="AX52" s="580"/>
      <x:c r="AY52" s="580"/>
      <x:c r="AZ52" s="580"/>
      <x:c r="BA52" s="580"/>
      <x:c r="BB52" s="580"/>
      <x:c r="BC52" s="580"/>
      <x:c r="BD52" s="582"/>
    </x:row>
    <x:row r="53" ht="19" customHeight="1">
      <x:c r="B53" s="509">
        <x:v>52</x:v>
      </x:c>
      <x:c r="C53" s="584"/>
      <x:c r="D53" s="584"/>
      <x:c r="E53" s="584"/>
      <x:c r="F53" s="584"/>
      <x:c r="G53" s="584"/>
      <x:c r="H53" s="584"/>
      <x:c r="I53" s="584"/>
      <x:c r="J53" s="584"/>
      <x:c r="K53" s="584"/>
      <x:c r="L53" s="584"/>
      <x:c r="M53" s="584"/>
      <x:c r="N53" s="584"/>
      <x:c r="O53" s="584"/>
      <x:c r="P53" s="584"/>
      <x:c r="Q53" s="584"/>
      <x:c r="R53" s="584"/>
      <x:c r="S53" s="584"/>
      <x:c r="T53" s="584"/>
      <x:c r="U53" s="584"/>
      <x:c r="V53" s="580">
        <x:v>72.31</x:v>
      </x:c>
      <x:c r="W53" s="580">
        <x:v>1354.1</x:v>
      </x:c>
      <x:c r="X53" s="580">
        <x:v>195.95</x:v>
      </x:c>
      <x:c r="Y53" s="580">
        <x:v>316.55</x:v>
      </x:c>
      <x:c r="Z53" s="580">
        <x:v>313.13</x:v>
      </x:c>
      <x:c r="AA53" s="581">
        <x:v>365.62</x:v>
      </x:c>
      <x:c r="AB53" s="580">
        <x:v>554.22</x:v>
      </x:c>
      <x:c r="AC53" s="580">
        <x:v>1448.38</x:v>
      </x:c>
      <x:c r="AD53" s="580">
        <x:v>1293.56</x:v>
      </x:c>
      <x:c r="AE53" s="580">
        <x:v>676.58</x:v>
      </x:c>
      <x:c r="AF53" s="580">
        <x:v>1010.55</x:v>
      </x:c>
      <x:c r="AG53" s="580">
        <x:v>474.46</x:v>
      </x:c>
      <x:c r="AH53" s="580">
        <x:v>556.83000000000004</x:v>
      </x:c>
      <x:c r="AI53" s="580">
        <x:v>1276.81</x:v>
      </x:c>
      <x:c r="AJ53" s="580">
        <x:v>992.77</x:v>
      </x:c>
      <x:c r="AK53" s="580">
        <x:v>867.02</x:v>
      </x:c>
      <x:c r="AL53" s="580">
        <x:v>589.91</x:v>
      </x:c>
      <x:c r="AM53" s="580">
        <x:v>581.66999999999996</x:v>
      </x:c>
      <x:c r="AN53" s="580"/>
      <x:c r="AO53" s="580"/>
      <x:c r="AP53" s="580"/>
      <x:c r="AQ53" s="580"/>
      <x:c r="AR53" s="580"/>
      <x:c r="AS53" s="580"/>
      <x:c r="AT53" s="580"/>
      <x:c r="AU53" s="580"/>
      <x:c r="AV53" s="580"/>
      <x:c r="AW53" s="580"/>
      <x:c r="AX53" s="580"/>
      <x:c r="AY53" s="580"/>
      <x:c r="AZ53" s="580"/>
      <x:c r="BA53" s="580"/>
      <x:c r="BB53" s="580"/>
      <x:c r="BC53" s="580"/>
      <x:c r="BD53" s="582"/>
    </x:row>
    <x:row r="54" ht="19" customHeight="1">
      <x:c r="B54" s="509">
        <x:v>53</x:v>
      </x:c>
      <x:c r="C54" s="584"/>
      <x:c r="D54" s="584"/>
      <x:c r="E54" s="584"/>
      <x:c r="F54" s="584"/>
      <x:c r="G54" s="584"/>
      <x:c r="H54" s="584"/>
      <x:c r="I54" s="584"/>
      <x:c r="J54" s="584"/>
      <x:c r="K54" s="584"/>
      <x:c r="L54" s="584"/>
      <x:c r="M54" s="584"/>
      <x:c r="N54" s="584"/>
      <x:c r="O54" s="584"/>
      <x:c r="P54" s="584"/>
      <x:c r="Q54" s="584"/>
      <x:c r="R54" s="584"/>
      <x:c r="S54" s="584"/>
      <x:c r="T54" s="584"/>
      <x:c r="U54" s="584"/>
      <x:c r="V54" s="580">
        <x:v>0</x:v>
      </x:c>
      <x:c r="W54" s="580">
        <x:v>320.52</x:v>
      </x:c>
      <x:c r="X54" s="580">
        <x:v>129.32</x:v>
      </x:c>
      <x:c r="Y54" s="580">
        <x:v>137.82</x:v>
      </x:c>
      <x:c r="Z54" s="580">
        <x:v>209.72</x:v>
      </x:c>
      <x:c r="AA54" s="581">
        <x:v>36</x:v>
      </x:c>
      <x:c r="AB54" s="580">
        <x:v>264.22000000000003</x:v>
      </x:c>
      <x:c r="AC54" s="580">
        <x:v>323.42</x:v>
      </x:c>
      <x:c r="AD54" s="580">
        <x:v>326.82</x:v>
      </x:c>
      <x:c r="AE54" s="580">
        <x:v>370.73</x:v>
      </x:c>
      <x:c r="AF54" s="580">
        <x:v>165.51</x:v>
      </x:c>
      <x:c r="AG54" s="580">
        <x:v>197.41</x:v>
      </x:c>
      <x:c r="AH54" s="580">
        <x:v>191.89</x:v>
      </x:c>
      <x:c r="AI54" s="580">
        <x:v>534.54999999999995</x:v>
      </x:c>
      <x:c r="AJ54" s="580">
        <x:v>401.89</x:v>
      </x:c>
      <x:c r="AK54" s="580">
        <x:v>1693.51</x:v>
      </x:c>
      <x:c r="AL54" s="580">
        <x:v>721.05</x:v>
      </x:c>
      <x:c r="AM54" s="580">
        <x:v>932.76</x:v>
      </x:c>
      <x:c r="AN54" s="580"/>
      <x:c r="AO54" s="580"/>
      <x:c r="AP54" s="580"/>
      <x:c r="AQ54" s="580"/>
      <x:c r="AR54" s="580"/>
      <x:c r="AS54" s="580"/>
      <x:c r="AT54" s="580"/>
      <x:c r="AU54" s="580"/>
      <x:c r="AV54" s="580"/>
      <x:c r="AW54" s="580"/>
      <x:c r="AX54" s="580"/>
      <x:c r="AY54" s="580"/>
      <x:c r="AZ54" s="580"/>
      <x:c r="BA54" s="580"/>
      <x:c r="BB54" s="580"/>
      <x:c r="BC54" s="580"/>
      <x:c r="BD54" s="582"/>
    </x:row>
    <x:row r="55" ht="19" customHeight="1">
      <x:c r="B55" s="509">
        <x:v>54</x:v>
      </x:c>
      <x:c r="C55" s="584"/>
      <x:c r="D55" s="584"/>
      <x:c r="E55" s="584"/>
      <x:c r="F55" s="584"/>
      <x:c r="G55" s="584"/>
      <x:c r="H55" s="584"/>
      <x:c r="I55" s="584"/>
      <x:c r="J55" s="584"/>
      <x:c r="K55" s="584"/>
      <x:c r="L55" s="584"/>
      <x:c r="M55" s="584"/>
      <x:c r="N55" s="584"/>
      <x:c r="O55" s="584"/>
      <x:c r="P55" s="584"/>
      <x:c r="Q55" s="584"/>
      <x:c r="R55" s="584"/>
      <x:c r="S55" s="584"/>
      <x:c r="T55" s="584"/>
      <x:c r="U55" s="584"/>
      <x:c r="V55" s="580">
        <x:v>0</x:v>
      </x:c>
      <x:c r="W55" s="580">
        <x:v>0</x:v>
      </x:c>
      <x:c r="X55" s="580">
        <x:v>209.55</x:v>
      </x:c>
      <x:c r="Y55" s="580">
        <x:v>246.2</x:v>
      </x:c>
      <x:c r="Z55" s="580">
        <x:v>164.73</x:v>
      </x:c>
      <x:c r="AA55" s="581">
        <x:v>475.54</x:v>
      </x:c>
      <x:c r="AB55" s="580">
        <x:v>464.12</x:v>
      </x:c>
      <x:c r="AC55" s="580">
        <x:v>867.53</x:v>
      </x:c>
      <x:c r="AD55" s="580">
        <x:v>579.91</x:v>
      </x:c>
      <x:c r="AE55" s="580">
        <x:v>592.98</x:v>
      </x:c>
      <x:c r="AF55" s="580">
        <x:v>1589.57</x:v>
      </x:c>
      <x:c r="AG55" s="580">
        <x:v>687.22</x:v>
      </x:c>
      <x:c r="AH55" s="580">
        <x:v>457.47</x:v>
      </x:c>
      <x:c r="AI55" s="580">
        <x:v>1648.84</x:v>
      </x:c>
      <x:c r="AJ55" s="580">
        <x:v>1393.19</x:v>
      </x:c>
      <x:c r="AK55" s="580">
        <x:v>792.94</x:v>
      </x:c>
      <x:c r="AL55" s="580">
        <x:v>1429.11</x:v>
      </x:c>
      <x:c r="AM55" s="580">
        <x:v>517.86</x:v>
      </x:c>
      <x:c r="AN55" s="580"/>
      <x:c r="AO55" s="580"/>
      <x:c r="AP55" s="580"/>
      <x:c r="AQ55" s="580"/>
      <x:c r="AR55" s="580"/>
      <x:c r="AS55" s="580"/>
      <x:c r="AT55" s="580"/>
      <x:c r="AU55" s="580"/>
      <x:c r="AV55" s="580"/>
      <x:c r="AW55" s="580"/>
      <x:c r="AX55" s="580"/>
      <x:c r="AY55" s="580"/>
      <x:c r="AZ55" s="580"/>
      <x:c r="BA55" s="580"/>
      <x:c r="BB55" s="580"/>
      <x:c r="BC55" s="580"/>
      <x:c r="BD55" s="582"/>
    </x:row>
    <x:row r="56" ht="19" customHeight="1">
      <x:c r="B56" s="509">
        <x:v>55</x:v>
      </x:c>
      <x:c r="C56" s="585"/>
      <x:c r="D56" s="585"/>
      <x:c r="E56" s="585"/>
      <x:c r="F56" s="585"/>
      <x:c r="G56" s="585"/>
      <x:c r="H56" s="585"/>
      <x:c r="I56" s="585"/>
      <x:c r="J56" s="585"/>
      <x:c r="K56" s="585"/>
      <x:c r="L56" s="585"/>
      <x:c r="M56" s="585"/>
      <x:c r="N56" s="585"/>
      <x:c r="O56" s="585"/>
      <x:c r="P56" s="585"/>
      <x:c r="Q56" s="585"/>
      <x:c r="R56" s="585"/>
      <x:c r="S56" s="585"/>
      <x:c r="T56" s="585"/>
      <x:c r="U56" s="585"/>
      <x:c r="V56" s="585"/>
      <x:c r="W56" s="585"/>
      <x:c r="X56" s="585"/>
      <x:c r="Y56" s="585"/>
      <x:c r="Z56" s="585"/>
      <x:c r="AA56" s="585"/>
      <x:c r="AB56" s="580">
        <x:v>950.15</x:v>
      </x:c>
      <x:c r="AC56" s="580">
        <x:v>1257.17</x:v>
      </x:c>
      <x:c r="AD56" s="580">
        <x:v>656.77</x:v>
      </x:c>
      <x:c r="AE56" s="580">
        <x:v>551.46</x:v>
      </x:c>
      <x:c r="AF56" s="580">
        <x:v>409.74</x:v>
      </x:c>
      <x:c r="AG56" s="580">
        <x:v>327.91</x:v>
      </x:c>
      <x:c r="AH56" s="580">
        <x:v>387.88</x:v>
      </x:c>
      <x:c r="AI56" s="580">
        <x:v>864.22</x:v>
      </x:c>
      <x:c r="AJ56" s="580">
        <x:v>1217.1099999999999</x:v>
      </x:c>
      <x:c r="AK56" s="580">
        <x:v>985.9</x:v>
      </x:c>
      <x:c r="AL56" s="580">
        <x:v>1185.1600000000001</x:v>
      </x:c>
      <x:c r="AM56" s="580">
        <x:v>647.22</x:v>
      </x:c>
      <x:c r="AN56" s="580"/>
      <x:c r="AO56" s="580"/>
      <x:c r="AP56" s="580"/>
      <x:c r="AQ56" s="580"/>
      <x:c r="AR56" s="580"/>
      <x:c r="AS56" s="580"/>
      <x:c r="AT56" s="580"/>
      <x:c r="AU56" s="580"/>
      <x:c r="AV56" s="580"/>
      <x:c r="AW56" s="580"/>
      <x:c r="AX56" s="580"/>
      <x:c r="AY56" s="580"/>
      <x:c r="AZ56" s="580"/>
      <x:c r="BA56" s="580"/>
      <x:c r="BB56" s="580"/>
      <x:c r="BC56" s="580"/>
      <x:c r="BD56" s="582"/>
    </x:row>
    <x:row r="57" ht="19" customHeight="1">
      <x:c r="B57" s="539">
        <x:v>56</x:v>
      </x:c>
      <x:c r="C57" s="585"/>
      <x:c r="D57" s="585"/>
      <x:c r="E57" s="585"/>
      <x:c r="F57" s="585"/>
      <x:c r="G57" s="585"/>
      <x:c r="H57" s="585"/>
      <x:c r="I57" s="585"/>
      <x:c r="J57" s="585"/>
      <x:c r="K57" s="585"/>
      <x:c r="L57" s="585"/>
      <x:c r="M57" s="585"/>
      <x:c r="N57" s="585"/>
      <x:c r="O57" s="585"/>
      <x:c r="P57" s="585"/>
      <x:c r="Q57" s="585"/>
      <x:c r="R57" s="585"/>
      <x:c r="S57" s="585"/>
      <x:c r="T57" s="585"/>
      <x:c r="U57" s="585"/>
      <x:c r="V57" s="585"/>
      <x:c r="W57" s="585"/>
      <x:c r="X57" s="585"/>
      <x:c r="Y57" s="585"/>
      <x:c r="Z57" s="585"/>
      <x:c r="AA57" s="585"/>
      <x:c r="AB57" s="586">
        <x:v>299.8</x:v>
      </x:c>
      <x:c r="AC57" s="586">
        <x:v>1770.49</x:v>
      </x:c>
      <x:c r="AD57" s="586">
        <x:v>829.17</x:v>
      </x:c>
      <x:c r="AE57" s="586">
        <x:v>984</x:v>
      </x:c>
      <x:c r="AF57" s="580">
        <x:v>792.13</x:v>
      </x:c>
      <x:c r="AG57" s="580">
        <x:v>582.52</x:v>
      </x:c>
      <x:c r="AH57" s="580">
        <x:v>278.41000000000003</x:v>
      </x:c>
      <x:c r="AI57" s="580">
        <x:v>853.73</x:v>
      </x:c>
      <x:c r="AJ57" s="580">
        <x:v>906.94</x:v>
      </x:c>
      <x:c r="AK57" s="580">
        <x:v>352.23</x:v>
      </x:c>
      <x:c r="AL57" s="580">
        <x:v>1089.58</x:v>
      </x:c>
      <x:c r="AM57" s="586"/>
      <x:c r="AN57" s="586"/>
      <x:c r="AO57" s="586"/>
      <x:c r="AP57" s="586"/>
      <x:c r="AQ57" s="586"/>
      <x:c r="AR57" s="586"/>
      <x:c r="AS57" s="586"/>
      <x:c r="AT57" s="586"/>
      <x:c r="AU57" s="586"/>
      <x:c r="AV57" s="586"/>
      <x:c r="AW57" s="586"/>
      <x:c r="AX57" s="586"/>
      <x:c r="AY57" s="586"/>
      <x:c r="AZ57" s="586"/>
      <x:c r="BA57" s="586"/>
      <x:c r="BB57" s="586"/>
      <x:c r="BC57" s="586"/>
      <x:c r="BD57" s="587"/>
    </x:row>
    <x:row r="58" ht="19" customHeight="1">
      <x:c r="B58" s="509">
        <x:v>57</x:v>
      </x:c>
      <x:c r="C58" s="584"/>
      <x:c r="D58" s="584"/>
      <x:c r="E58" s="584"/>
      <x:c r="F58" s="584"/>
      <x:c r="G58" s="584"/>
      <x:c r="H58" s="584"/>
      <x:c r="I58" s="584"/>
      <x:c r="J58" s="584"/>
      <x:c r="K58" s="584"/>
      <x:c r="L58" s="584"/>
      <x:c r="M58" s="584"/>
      <x:c r="N58" s="584"/>
      <x:c r="O58" s="584"/>
      <x:c r="P58" s="584"/>
      <x:c r="Q58" s="584"/>
      <x:c r="R58" s="584"/>
      <x:c r="S58" s="584"/>
      <x:c r="T58" s="584"/>
      <x:c r="U58" s="584"/>
      <x:c r="V58" s="584"/>
      <x:c r="W58" s="584"/>
      <x:c r="X58" s="584"/>
      <x:c r="Y58" s="584"/>
      <x:c r="Z58" s="584"/>
      <x:c r="AA58" s="584"/>
      <x:c r="AB58" s="584"/>
      <x:c r="AC58" s="584"/>
      <x:c r="AD58" s="584"/>
      <x:c r="AE58" s="584"/>
      <x:c r="AF58" s="584"/>
      <x:c r="AG58" s="584"/>
      <x:c r="AH58" s="580">
        <x:v>739.71</x:v>
      </x:c>
      <x:c r="AI58" s="580">
        <x:v>355.25</x:v>
      </x:c>
      <x:c r="AJ58" s="580">
        <x:v>320.27999999999997</x:v>
      </x:c>
      <x:c r="AK58" s="580">
        <x:v>910.23</x:v>
      </x:c>
      <x:c r="AL58" s="580">
        <x:v>690.44</x:v>
      </x:c>
      <x:c r="AM58" s="580"/>
      <x:c r="AN58" s="580"/>
      <x:c r="AO58" s="580"/>
      <x:c r="AP58" s="580"/>
      <x:c r="AQ58" s="580"/>
      <x:c r="AR58" s="580"/>
      <x:c r="AS58" s="580"/>
      <x:c r="AT58" s="580"/>
      <x:c r="AU58" s="580"/>
      <x:c r="AV58" s="580"/>
      <x:c r="AW58" s="580"/>
      <x:c r="AX58" s="580"/>
      <x:c r="AY58" s="580"/>
      <x:c r="AZ58" s="580"/>
      <x:c r="BA58" s="580"/>
      <x:c r="BB58" s="580"/>
      <x:c r="BC58" s="580"/>
      <x:c r="BD58" s="582"/>
    </x:row>
    <x:row r="59" ht="19" customHeight="1">
      <x:c r="B59" s="509">
        <x:v>58</x:v>
      </x:c>
      <x:c r="C59" s="584"/>
      <x:c r="D59" s="584"/>
      <x:c r="E59" s="584"/>
      <x:c r="F59" s="584"/>
      <x:c r="G59" s="584"/>
      <x:c r="H59" s="584"/>
      <x:c r="I59" s="584"/>
      <x:c r="J59" s="584"/>
      <x:c r="K59" s="584"/>
      <x:c r="L59" s="584"/>
      <x:c r="M59" s="584"/>
      <x:c r="N59" s="584"/>
      <x:c r="O59" s="584"/>
      <x:c r="P59" s="584"/>
      <x:c r="Q59" s="584"/>
      <x:c r="R59" s="584"/>
      <x:c r="S59" s="584"/>
      <x:c r="T59" s="584"/>
      <x:c r="U59" s="584"/>
      <x:c r="V59" s="584"/>
      <x:c r="W59" s="584"/>
      <x:c r="X59" s="584"/>
      <x:c r="Y59" s="584"/>
      <x:c r="Z59" s="584"/>
      <x:c r="AA59" s="584"/>
      <x:c r="AB59" s="584"/>
      <x:c r="AC59" s="584"/>
      <x:c r="AD59" s="584"/>
      <x:c r="AE59" s="584"/>
      <x:c r="AF59" s="584"/>
      <x:c r="AG59" s="584"/>
      <x:c r="AH59" s="584"/>
      <x:c r="AI59" s="580">
        <x:v>171.79</x:v>
      </x:c>
      <x:c r="AJ59" s="580">
        <x:v>0</x:v>
      </x:c>
      <x:c r="AK59" s="580">
        <x:v>1043.3499999999999</x:v>
      </x:c>
      <x:c r="AL59" s="583">
        <x:v>0</x:v>
      </x:c>
      <x:c r="AM59" s="580"/>
      <x:c r="AN59" s="580"/>
      <x:c r="AO59" s="580"/>
      <x:c r="AP59" s="580"/>
      <x:c r="AQ59" s="580"/>
      <x:c r="AR59" s="580"/>
      <x:c r="AS59" s="580"/>
      <x:c r="AT59" s="580"/>
      <x:c r="AU59" s="580"/>
      <x:c r="AV59" s="580"/>
      <x:c r="AW59" s="580"/>
      <x:c r="AX59" s="580"/>
      <x:c r="AY59" s="580"/>
      <x:c r="AZ59" s="580"/>
      <x:c r="BA59" s="580"/>
      <x:c r="BB59" s="580"/>
      <x:c r="BC59" s="580"/>
      <x:c r="BD59" s="582"/>
    </x:row>
    <x:row r="60" ht="19" customHeight="1">
      <x:c r="B60" s="509">
        <x:v>59</x:v>
      </x:c>
      <x:c r="C60" s="584"/>
      <x:c r="D60" s="584"/>
      <x:c r="E60" s="584"/>
      <x:c r="F60" s="584"/>
      <x:c r="G60" s="584"/>
      <x:c r="H60" s="584"/>
      <x:c r="I60" s="584"/>
      <x:c r="J60" s="584"/>
      <x:c r="K60" s="584"/>
      <x:c r="L60" s="584"/>
      <x:c r="M60" s="584"/>
      <x:c r="N60" s="584"/>
      <x:c r="O60" s="584"/>
      <x:c r="P60" s="584"/>
      <x:c r="Q60" s="584"/>
      <x:c r="R60" s="584"/>
      <x:c r="S60" s="584"/>
      <x:c r="T60" s="584"/>
      <x:c r="U60" s="584"/>
      <x:c r="V60" s="584"/>
      <x:c r="W60" s="584"/>
      <x:c r="X60" s="584"/>
      <x:c r="Y60" s="584"/>
      <x:c r="Z60" s="584"/>
      <x:c r="AA60" s="584"/>
      <x:c r="AB60" s="584"/>
      <x:c r="AC60" s="584"/>
      <x:c r="AD60" s="584"/>
      <x:c r="AE60" s="584"/>
      <x:c r="AF60" s="584"/>
      <x:c r="AG60" s="584"/>
      <x:c r="AH60" s="584"/>
      <x:c r="AI60" s="584"/>
      <x:c r="AJ60" s="584"/>
      <x:c r="AK60" s="580">
        <x:v>932.99</x:v>
      </x:c>
      <x:c r="AL60" s="583">
        <x:v>0</x:v>
      </x:c>
      <x:c r="AM60" s="580"/>
      <x:c r="AN60" s="580"/>
      <x:c r="AO60" s="580"/>
      <x:c r="AP60" s="580"/>
      <x:c r="AQ60" s="580"/>
      <x:c r="AR60" s="580"/>
      <x:c r="AS60" s="580"/>
      <x:c r="AT60" s="580"/>
      <x:c r="AU60" s="580"/>
      <x:c r="AV60" s="580"/>
      <x:c r="AW60" s="580"/>
      <x:c r="AX60" s="580"/>
      <x:c r="AY60" s="580"/>
      <x:c r="AZ60" s="580"/>
      <x:c r="BA60" s="580"/>
      <x:c r="BB60" s="580"/>
      <x:c r="BC60" s="580"/>
      <x:c r="BD60" s="582"/>
    </x:row>
    <x:row r="61" ht="19" customHeight="1">
      <x:c r="B61" s="509">
        <x:v>60</x:v>
      </x:c>
      <x:c r="C61" s="584"/>
      <x:c r="D61" s="584"/>
      <x:c r="E61" s="584"/>
      <x:c r="F61" s="584"/>
      <x:c r="G61" s="584"/>
      <x:c r="H61" s="584"/>
      <x:c r="I61" s="584"/>
      <x:c r="J61" s="584"/>
      <x:c r="K61" s="584"/>
      <x:c r="L61" s="584"/>
      <x:c r="M61" s="584"/>
      <x:c r="N61" s="584"/>
      <x:c r="O61" s="584"/>
      <x:c r="P61" s="584"/>
      <x:c r="Q61" s="584"/>
      <x:c r="R61" s="584"/>
      <x:c r="S61" s="584"/>
      <x:c r="T61" s="584"/>
      <x:c r="U61" s="584"/>
      <x:c r="V61" s="584"/>
      <x:c r="W61" s="584"/>
      <x:c r="X61" s="584"/>
      <x:c r="Y61" s="584"/>
      <x:c r="Z61" s="584"/>
      <x:c r="AA61" s="584"/>
      <x:c r="AB61" s="584"/>
      <x:c r="AC61" s="584"/>
      <x:c r="AD61" s="584"/>
      <x:c r="AE61" s="584"/>
      <x:c r="AF61" s="584"/>
      <x:c r="AG61" s="584"/>
      <x:c r="AH61" s="584"/>
      <x:c r="AI61" s="584"/>
      <x:c r="AJ61" s="584"/>
      <x:c r="AK61" s="580">
        <x:v>246.55</x:v>
      </x:c>
      <x:c r="AL61" s="583"/>
      <x:c r="AM61" s="580"/>
      <x:c r="AN61" s="580"/>
      <x:c r="AO61" s="580"/>
      <x:c r="AP61" s="580"/>
      <x:c r="AQ61" s="580"/>
      <x:c r="AR61" s="580"/>
      <x:c r="AS61" s="580"/>
      <x:c r="AT61" s="580"/>
      <x:c r="AU61" s="580"/>
      <x:c r="AV61" s="580"/>
      <x:c r="AW61" s="580"/>
      <x:c r="AX61" s="580"/>
      <x:c r="AY61" s="580"/>
      <x:c r="AZ61" s="580"/>
      <x:c r="BA61" s="580"/>
      <x:c r="BB61" s="580"/>
      <x:c r="BC61" s="580"/>
      <x:c r="BD61" s="582"/>
    </x:row>
    <x:row r="62" ht="19" customHeight="1">
      <x:c r="B62" s="509">
        <x:v>61</x:v>
      </x:c>
      <x:c r="C62" s="588"/>
      <x:c r="D62" s="588"/>
      <x:c r="E62" s="588"/>
      <x:c r="F62" s="588"/>
      <x:c r="G62" s="588"/>
      <x:c r="H62" s="588"/>
      <x:c r="I62" s="588"/>
      <x:c r="J62" s="588"/>
      <x:c r="K62" s="588"/>
      <x:c r="L62" s="588"/>
      <x:c r="M62" s="588"/>
      <x:c r="N62" s="588"/>
      <x:c r="O62" s="588"/>
      <x:c r="P62" s="588"/>
      <x:c r="Q62" s="588"/>
      <x:c r="R62" s="588"/>
      <x:c r="S62" s="588"/>
      <x:c r="T62" s="588"/>
      <x:c r="U62" s="588"/>
      <x:c r="V62" s="588"/>
      <x:c r="W62" s="588"/>
      <x:c r="X62" s="588"/>
      <x:c r="Y62" s="588"/>
      <x:c r="Z62" s="588"/>
      <x:c r="AA62" s="588"/>
      <x:c r="AB62" s="588"/>
      <x:c r="AC62" s="588"/>
      <x:c r="AD62" s="588"/>
      <x:c r="AE62" s="588"/>
      <x:c r="AF62" s="588"/>
      <x:c r="AG62" s="588"/>
      <x:c r="AH62" s="588"/>
      <x:c r="AI62" s="588"/>
      <x:c r="AJ62" s="588"/>
      <x:c r="AK62" s="588"/>
      <x:c r="AL62" s="588"/>
      <x:c r="AM62" s="589"/>
      <x:c r="AN62" s="589"/>
      <x:c r="AO62" s="589"/>
      <x:c r="AP62" s="589"/>
      <x:c r="AQ62" s="589"/>
      <x:c r="AR62" s="589"/>
      <x:c r="AS62" s="589"/>
      <x:c r="AT62" s="589"/>
      <x:c r="AU62" s="589"/>
      <x:c r="AV62" s="589"/>
      <x:c r="AW62" s="589"/>
      <x:c r="AX62" s="589"/>
      <x:c r="AY62" s="589"/>
      <x:c r="AZ62" s="589"/>
      <x:c r="BA62" s="589"/>
      <x:c r="BB62" s="589"/>
      <x:c r="BC62" s="589"/>
      <x:c r="BD62" s="590"/>
    </x:row>
    <x:row r="63">
      <x:c r="B63" s="595"/>
      <x:c r="C63" s="597" t="n">
        <x:f>SUM(C3:C62)</x:f>
        <x:v>7089.829999999998</x:v>
      </x:c>
      <x:c r="D63" s="597" t="n">
        <x:f t="shared" ref="D63:AQ63" si="0">SUM(D3:D62)</x:f>
        <x:v>6828.26</x:v>
      </x:c>
      <x:c r="E63" s="597">
        <x:f t="shared" si="0"/>
        <x:v>11018.789999999997</x:v>
      </x:c>
      <x:c r="F63" s="597">
        <x:f t="shared" si="0"/>
        <x:v>13103.649999999996</x:v>
      </x:c>
      <x:c r="G63" s="597">
        <x:f t="shared" si="0"/>
        <x:v>17361</x:v>
      </x:c>
      <x:c r="H63" s="597">
        <x:f t="shared" si="0"/>
        <x:v>12442.349999999999</x:v>
      </x:c>
      <x:c r="I63" s="597">
        <x:f t="shared" si="0"/>
        <x:v>8851.1512600000005</x:v>
      </x:c>
      <x:c r="J63" s="597">
        <x:f t="shared" si="0"/>
        <x:v>9841.0700000000015</x:v>
      </x:c>
      <x:c r="K63" s="597">
        <x:f t="shared" si="0"/>
        <x:v>11635.009999999998</x:v>
      </x:c>
      <x:c r="L63" s="597">
        <x:f t="shared" si="0"/>
        <x:v>17059.96</x:v>
      </x:c>
      <x:c r="M63" s="597">
        <x:f t="shared" si="0"/>
        <x:v>16333.130000000001</x:v>
      </x:c>
      <x:c r="N63" s="597">
        <x:f t="shared" si="0"/>
        <x:v>12954.990000000002</x:v>
      </x:c>
      <x:c r="O63" s="597">
        <x:f t="shared" si="0"/>
        <x:v>13620.539999999999</x:v>
      </x:c>
      <x:c r="P63" s="597">
        <x:f t="shared" si="0"/>
        <x:v>20971.13</x:v>
      </x:c>
      <x:c r="Q63" s="597">
        <x:f t="shared" si="0"/>
        <x:v>21169.685999999994</x:v>
      </x:c>
      <x:c r="R63" s="597">
        <x:f t="shared" si="0"/>
        <x:v>18783.41</x:v>
      </x:c>
      <x:c r="S63" s="597">
        <x:f t="shared" si="0"/>
        <x:v>23275.119999999992</x:v>
      </x:c>
      <x:c r="T63" s="597">
        <x:f t="shared" si="0"/>
        <x:v>17018.559999999998</x:v>
      </x:c>
      <x:c r="U63" s="597">
        <x:f t="shared" si="0"/>
        <x:v>12179.960000000003</x:v>
      </x:c>
      <x:c r="V63" s="597">
        <x:f t="shared" si="0"/>
        <x:v>13104.06</x:v>
      </x:c>
      <x:c r="W63" s="597">
        <x:f t="shared" si="0"/>
        <x:v>15681.38</x:v>
      </x:c>
      <x:c r="X63" s="597">
        <x:f t="shared" si="0"/>
        <x:v>9282.0999999999985</x:v>
      </x:c>
      <x:c r="Y63" s="597">
        <x:f t="shared" si="0"/>
        <x:v>10623.519999999997</x:v>
      </x:c>
      <x:c r="Z63" s="597">
        <x:f t="shared" si="0"/>
        <x:v>12878.429999999997</x:v>
      </x:c>
      <x:c r="AA63" s="597">
        <x:f t="shared" si="0"/>
        <x:v>11194.33</x:v>
      </x:c>
      <x:c r="AB63" s="597">
        <x:f t="shared" si="0"/>
        <x:v>18178.78</x:v>
      </x:c>
      <x:c r="AC63" s="597">
        <x:f t="shared" si="0"/>
        <x:v>31463.930000000004</x:v>
      </x:c>
      <x:c r="AD63" s="597">
        <x:f t="shared" si="0"/>
        <x:v>25182.969999999998</x:v>
      </x:c>
      <x:c r="AE63" s="597">
        <x:f t="shared" si="0"/>
        <x:v>27222.05</x:v>
      </x:c>
      <x:c r="AF63" s="597">
        <x:f t="shared" si="0"/>
        <x:v>24239.729999999996</x:v>
      </x:c>
      <x:c r="AG63" s="597">
        <x:f t="shared" si="0"/>
        <x:v>13656.429999999998</x:v>
      </x:c>
      <x:c r="AH63" s="597">
        <x:f t="shared" si="0"/>
        <x:v>17092.699999999997</x:v>
      </x:c>
      <x:c r="AI63" s="597">
        <x:f t="shared" si="0"/>
        <x:v>27702.780000000006</x:v>
      </x:c>
      <x:c r="AJ63" s="597">
        <x:f t="shared" si="0"/>
        <x:v>28509.7</x:v>
      </x:c>
      <x:c r="AK63" s="597">
        <x:f t="shared" si="0"/>
        <x:v>26322.019999999993</x:v>
      </x:c>
      <x:c r="AL63" s="597">
        <x:f t="shared" si="0"/>
        <x:v>37302.869000000013</x:v>
      </x:c>
      <x:c r="AM63" s="597">
        <x:f t="shared" si="0"/>
        <x:v>31752.379999999997</x:v>
      </x:c>
      <x:c r="AN63" s="597">
        <x:f t="shared" si="0"/>
        <x:v>0</x:v>
      </x:c>
      <x:c r="AO63" s="597">
        <x:f t="shared" si="0"/>
        <x:v>0</x:v>
      </x:c>
      <x:c r="AP63" s="597">
        <x:f t="shared" si="0"/>
        <x:v>0</x:v>
      </x:c>
      <x:c r="AQ63" s="597">
        <x:f t="shared" si="0"/>
        <x:v>0</x:v>
      </x:c>
      <x:c r="AR63" s="597" t="n">
        <x:f t="shared" ref="AR63:BD63" si="1">SUM(AR3:AR62)</x:f>
        <x:v>0</x:v>
      </x:c>
      <x:c r="AS63" s="597">
        <x:f t="shared" si="1"/>
        <x:v>0</x:v>
      </x:c>
      <x:c r="AT63" s="597">
        <x:f t="shared" si="1"/>
        <x:v>0</x:v>
      </x:c>
      <x:c r="AU63" s="597">
        <x:f t="shared" si="1"/>
        <x:v>0</x:v>
      </x:c>
      <x:c r="AV63" s="597">
        <x:f t="shared" si="1"/>
        <x:v>0</x:v>
      </x:c>
      <x:c r="AW63" s="597">
        <x:f t="shared" si="1"/>
        <x:v>0</x:v>
      </x:c>
      <x:c r="AX63" s="597">
        <x:f t="shared" si="1"/>
        <x:v>0</x:v>
      </x:c>
      <x:c r="AY63" s="597">
        <x:f t="shared" si="1"/>
        <x:v>0</x:v>
      </x:c>
      <x:c r="AZ63" s="597">
        <x:f t="shared" si="1"/>
        <x:v>0</x:v>
      </x:c>
      <x:c r="BA63" s="597">
        <x:f t="shared" si="1"/>
        <x:v>0</x:v>
      </x:c>
      <x:c r="BB63" s="597">
        <x:f t="shared" si="1"/>
        <x:v>0</x:v>
      </x:c>
      <x:c r="BC63" s="597">
        <x:f t="shared" si="1"/>
        <x:v>0</x:v>
      </x:c>
      <x:c r="BD63" s="597">
        <x:f t="shared" si="1"/>
        <x:v>0</x:v>
      </x:c>
    </x:row>
    <x:row r="64">
      <x:c r="AA64" s="36"/>
    </x:row>
    <x:row r="65" ht="24" customHeight="1">
      <x:c r="B65" s="461" t="s">
        <x:v>0</x:v>
      </x:c>
      <x:c r="C65" s="463">
        <x:v>45139</x:v>
      </x:c>
      <x:c r="D65" s="463">
        <x:v>45170</x:v>
      </x:c>
      <x:c r="E65" s="463">
        <x:v>45200</x:v>
      </x:c>
      <x:c r="F65" s="463">
        <x:v>45231</x:v>
      </x:c>
      <x:c r="G65" s="463">
        <x:v>45261</x:v>
      </x:c>
      <x:c r="H65" s="463">
        <x:v>45292</x:v>
      </x:c>
      <x:c r="I65" s="463">
        <x:v>45323</x:v>
      </x:c>
      <x:c r="J65" s="463">
        <x:v>45352</x:v>
      </x:c>
      <x:c r="K65" s="463">
        <x:v>45383</x:v>
      </x:c>
      <x:c r="L65" s="463">
        <x:v>45413</x:v>
      </x:c>
      <x:c r="M65" s="463">
        <x:v>45444</x:v>
      </x:c>
      <x:c r="N65" s="463">
        <x:v>45474</x:v>
      </x:c>
      <x:c r="O65" s="463">
        <x:v>45505</x:v>
      </x:c>
      <x:c r="P65" s="463">
        <x:v>45536</x:v>
      </x:c>
      <x:c r="Q65" s="463">
        <x:v>45566</x:v>
      </x:c>
      <x:c r="R65" s="463">
        <x:v>45597</x:v>
      </x:c>
      <x:c r="S65" s="463">
        <x:v>45627</x:v>
      </x:c>
      <x:c r="T65" s="463">
        <x:v>45658</x:v>
      </x:c>
      <x:c r="U65" s="463">
        <x:v>45689</x:v>
      </x:c>
      <x:c r="V65" s="463">
        <x:v>45717</x:v>
      </x:c>
      <x:c r="W65" s="463">
        <x:v>45748</x:v>
      </x:c>
      <x:c r="X65" s="463">
        <x:v>45778</x:v>
      </x:c>
      <x:c r="Y65" s="463">
        <x:v>45809</x:v>
      </x:c>
      <x:c r="Z65" s="463">
        <x:v>45839</x:v>
      </x:c>
      <x:c r="AA65" s="463">
        <x:v>45870</x:v>
      </x:c>
      <x:c r="AB65" s="463">
        <x:v>45901</x:v>
      </x:c>
      <x:c r="AC65" s="463">
        <x:v>45931</x:v>
      </x:c>
      <x:c r="AD65" s="463">
        <x:v>45962</x:v>
      </x:c>
      <x:c r="AE65" s="463">
        <x:v>45992</x:v>
      </x:c>
      <x:c r="AF65" s="463">
        <x:v>46023</x:v>
      </x:c>
      <x:c r="AG65" s="463">
        <x:v>46054</x:v>
      </x:c>
      <x:c r="AH65" s="463">
        <x:v>46082</x:v>
      </x:c>
      <x:c r="AI65" s="463">
        <x:v>46113</x:v>
      </x:c>
      <x:c r="AJ65" s="463">
        <x:v>46143</x:v>
      </x:c>
      <x:c r="AK65" s="463">
        <x:v>46174</x:v>
      </x:c>
      <x:c r="AL65" s="463">
        <x:v>46204</x:v>
      </x:c>
      <x:c r="AM65" s="463">
        <x:v>46235</x:v>
      </x:c>
      <x:c r="AN65" s="463">
        <x:v>46266</x:v>
      </x:c>
      <x:c r="AO65" s="463">
        <x:v>46296</x:v>
      </x:c>
      <x:c r="AP65" s="463">
        <x:v>46327</x:v>
      </x:c>
      <x:c r="AQ65" s="463">
        <x:v>46357</x:v>
      </x:c>
      <x:c r="AR65" s="463">
        <x:v>46388</x:v>
      </x:c>
      <x:c r="AS65" s="463">
        <x:v>46419</x:v>
      </x:c>
      <x:c r="AT65" s="463">
        <x:v>46447</x:v>
      </x:c>
      <x:c r="AU65" s="463">
        <x:v>46478</x:v>
      </x:c>
      <x:c r="AV65" s="463">
        <x:v>46508</x:v>
      </x:c>
      <x:c r="AW65" s="463">
        <x:v>46539</x:v>
      </x:c>
      <x:c r="AX65" s="463">
        <x:v>46569</x:v>
      </x:c>
      <x:c r="AY65" s="463">
        <x:v>46600</x:v>
      </x:c>
      <x:c r="AZ65" s="463">
        <x:v>46631</x:v>
      </x:c>
      <x:c r="BA65" s="463">
        <x:v>46661</x:v>
      </x:c>
      <x:c r="BB65" s="463">
        <x:v>46692</x:v>
      </x:c>
      <x:c r="BC65" s="463">
        <x:v>46722</x:v>
      </x:c>
      <x:c r="BD65" s="463">
        <x:v>46753</x:v>
      </x:c>
    </x:row>
    <x:row r="66" ht="19" customHeight="1">
      <x:c r="B66" s="509">
        <x:v>1</x:v>
      </x:c>
      <x:c r="C66" s="512">
        <x:v>15</x:v>
      </x:c>
      <x:c r="D66" s="512">
        <x:v>19</x:v>
      </x:c>
      <x:c r="E66" s="512">
        <x:v>31</x:v>
      </x:c>
      <x:c r="F66" s="512">
        <x:v>30</x:v>
      </x:c>
      <x:c r="G66" s="512">
        <x:v>44</x:v>
      </x:c>
      <x:c r="H66" s="512">
        <x:v>19</x:v>
      </x:c>
      <x:c r="I66" s="512">
        <x:v>16</x:v>
      </x:c>
      <x:c r="J66" s="512">
        <x:v>28</x:v>
      </x:c>
      <x:c r="K66" s="512">
        <x:v>17</x:v>
      </x:c>
      <x:c r="L66" s="512">
        <x:v>19</x:v>
      </x:c>
      <x:c r="M66" s="512">
        <x:v>17</x:v>
      </x:c>
      <x:c r="N66" s="512">
        <x:v>7</x:v>
      </x:c>
      <x:c r="O66" s="512">
        <x:v>6</x:v>
      </x:c>
      <x:c r="P66" s="512">
        <x:v>2</x:v>
      </x:c>
      <x:c r="Q66" s="512">
        <x:v>3</x:v>
      </x:c>
      <x:c r="R66" s="512">
        <x:v>5</x:v>
      </x:c>
      <x:c r="S66" s="512">
        <x:v>17</x:v>
      </x:c>
      <x:c r="T66" s="512">
        <x:v>5</x:v>
      </x:c>
      <x:c r="U66" s="512">
        <x:v>0</x:v>
      </x:c>
      <x:c r="V66" s="512">
        <x:v>0</x:v>
      </x:c>
      <x:c r="W66" s="512">
        <x:v>3</x:v>
      </x:c>
      <x:c r="X66" s="512">
        <x:v>3</x:v>
      </x:c>
      <x:c r="Y66" s="512">
        <x:v>9</x:v>
      </x:c>
      <x:c r="Z66" s="512">
        <x:v>3</x:v>
      </x:c>
      <x:c r="AA66" s="636">
        <x:v>5</x:v>
      </x:c>
      <x:c r="AB66" s="512">
        <x:v>4</x:v>
      </x:c>
      <x:c r="AC66" s="512">
        <x:v>6</x:v>
      </x:c>
      <x:c r="AD66" s="512">
        <x:v>2</x:v>
      </x:c>
      <x:c r="AE66" s="512">
        <x:v>0</x:v>
      </x:c>
      <x:c r="AF66" s="512">
        <x:v>3</x:v>
      </x:c>
      <x:c r="AG66" s="512">
        <x:v>2</x:v>
      </x:c>
      <x:c r="AH66" s="512">
        <x:v>3</x:v>
      </x:c>
      <x:c r="AI66" s="512">
        <x:v>19</x:v>
      </x:c>
      <x:c r="AJ66" s="512">
        <x:v>19</x:v>
      </x:c>
      <x:c r="AK66" s="512">
        <x:v>6</x:v>
      </x:c>
      <x:c r="AL66" s="512">
        <x:v>48</x:v>
      </x:c>
      <x:c r="AM66" s="512">
        <x:v>25</x:v>
      </x:c>
      <x:c r="AN66" s="512"/>
      <x:c r="AO66" s="512"/>
      <x:c r="AP66" s="512"/>
      <x:c r="AQ66" s="512"/>
      <x:c r="AR66" s="512"/>
      <x:c r="AS66" s="512"/>
      <x:c r="AT66" s="512"/>
      <x:c r="AU66" s="512"/>
      <x:c r="AV66" s="512"/>
      <x:c r="AW66" s="512"/>
      <x:c r="AX66" s="512"/>
      <x:c r="AY66" s="512"/>
      <x:c r="AZ66" s="512"/>
      <x:c r="BA66" s="512"/>
      <x:c r="BB66" s="512"/>
      <x:c r="BC66" s="512"/>
      <x:c r="BD66" s="514"/>
    </x:row>
    <x:row r="67" ht="19" customHeight="1">
      <x:c r="B67" s="509">
        <x:v>2</x:v>
      </x:c>
      <x:c r="C67" s="512">
        <x:v>11</x:v>
      </x:c>
      <x:c r="D67" s="512">
        <x:v>12</x:v>
      </x:c>
      <x:c r="E67" s="512">
        <x:v>19</x:v>
      </x:c>
      <x:c r="F67" s="512">
        <x:v>16</x:v>
      </x:c>
      <x:c r="G67" s="512">
        <x:v>31</x:v>
      </x:c>
      <x:c r="H67" s="512">
        <x:v>24</x:v>
      </x:c>
      <x:c r="I67" s="512">
        <x:v>7</x:v>
      </x:c>
      <x:c r="J67" s="512">
        <x:v>10</x:v>
      </x:c>
      <x:c r="K67" s="512">
        <x:v>15</x:v>
      </x:c>
      <x:c r="L67" s="512">
        <x:v>20</x:v>
      </x:c>
      <x:c r="M67" s="512">
        <x:v>18</x:v>
      </x:c>
      <x:c r="N67" s="512">
        <x:v>24</x:v>
      </x:c>
      <x:c r="O67" s="512">
        <x:v>17</x:v>
      </x:c>
      <x:c r="P67" s="512">
        <x:v>22</x:v>
      </x:c>
      <x:c r="Q67" s="512">
        <x:v>28</x:v>
      </x:c>
      <x:c r="R67" s="512">
        <x:v>16</x:v>
      </x:c>
      <x:c r="S67" s="512">
        <x:v>30</x:v>
      </x:c>
      <x:c r="T67" s="512">
        <x:v>16</x:v>
      </x:c>
      <x:c r="U67" s="512">
        <x:v>12</x:v>
      </x:c>
      <x:c r="V67" s="512">
        <x:v>13</x:v>
      </x:c>
      <x:c r="W67" s="512">
        <x:v>6</x:v>
      </x:c>
      <x:c r="X67" s="512">
        <x:v>3</x:v>
      </x:c>
      <x:c r="Y67" s="512">
        <x:v>6</x:v>
      </x:c>
      <x:c r="Z67" s="512">
        <x:v>3</x:v>
      </x:c>
      <x:c r="AA67" s="636">
        <x:v>6</x:v>
      </x:c>
      <x:c r="AB67" s="512">
        <x:v>6</x:v>
      </x:c>
      <x:c r="AC67" s="512">
        <x:v>10</x:v>
      </x:c>
      <x:c r="AD67" s="512">
        <x:v>11</x:v>
      </x:c>
      <x:c r="AE67" s="512">
        <x:v>6</x:v>
      </x:c>
      <x:c r="AF67" s="512">
        <x:v>22</x:v>
      </x:c>
      <x:c r="AG67" s="512">
        <x:v>27</x:v>
      </x:c>
      <x:c r="AH67" s="512">
        <x:v>17</x:v>
      </x:c>
      <x:c r="AI67" s="512">
        <x:v>21</x:v>
      </x:c>
      <x:c r="AJ67" s="512">
        <x:v>50</x:v>
      </x:c>
      <x:c r="AK67" s="512">
        <x:v>17</x:v>
      </x:c>
      <x:c r="AL67" s="512">
        <x:v>31</x:v>
      </x:c>
      <x:c r="AM67" s="512">
        <x:v>8</x:v>
      </x:c>
      <x:c r="AN67" s="512"/>
      <x:c r="AO67" s="512"/>
      <x:c r="AP67" s="512"/>
      <x:c r="AQ67" s="512"/>
      <x:c r="AR67" s="512"/>
      <x:c r="AS67" s="512"/>
      <x:c r="AT67" s="512"/>
      <x:c r="AU67" s="512"/>
      <x:c r="AV67" s="512"/>
      <x:c r="AW67" s="512"/>
      <x:c r="AX67" s="512"/>
      <x:c r="AY67" s="512"/>
      <x:c r="AZ67" s="512"/>
      <x:c r="BA67" s="512"/>
      <x:c r="BB67" s="512"/>
      <x:c r="BC67" s="512"/>
      <x:c r="BD67" s="514"/>
    </x:row>
    <x:row r="68" ht="19" customHeight="1">
      <x:c r="B68" s="509">
        <x:v>3</x:v>
      </x:c>
      <x:c r="C68" s="512">
        <x:v>26</x:v>
      </x:c>
      <x:c r="D68" s="512">
        <x:v>24</x:v>
      </x:c>
      <x:c r="E68" s="512">
        <x:v>40</x:v>
      </x:c>
      <x:c r="F68" s="512">
        <x:v>43</x:v>
      </x:c>
      <x:c r="G68" s="512">
        <x:v>71</x:v>
      </x:c>
      <x:c r="H68" s="512">
        <x:v>48</x:v>
      </x:c>
      <x:c r="I68" s="512">
        <x:v>29</x:v>
      </x:c>
      <x:c r="J68" s="512">
        <x:v>30</x:v>
      </x:c>
      <x:c r="K68" s="512">
        <x:v>39</x:v>
      </x:c>
      <x:c r="L68" s="512">
        <x:v>58</x:v>
      </x:c>
      <x:c r="M68" s="512">
        <x:v>53</x:v>
      </x:c>
      <x:c r="N68" s="512">
        <x:v>76</x:v>
      </x:c>
      <x:c r="O68" s="512">
        <x:v>32</x:v>
      </x:c>
      <x:c r="P68" s="512">
        <x:v>32</x:v>
      </x:c>
      <x:c r="Q68" s="512">
        <x:v>35</x:v>
      </x:c>
      <x:c r="R68" s="512">
        <x:v>47</x:v>
      </x:c>
      <x:c r="S68" s="512">
        <x:v>27</x:v>
      </x:c>
      <x:c r="T68" s="512">
        <x:v>37</x:v>
      </x:c>
      <x:c r="U68" s="512">
        <x:v>27</x:v>
      </x:c>
      <x:c r="V68" s="512">
        <x:v>18</x:v>
      </x:c>
      <x:c r="W68" s="512">
        <x:v>30</x:v>
      </x:c>
      <x:c r="X68" s="512">
        <x:v>17</x:v>
      </x:c>
      <x:c r="Y68" s="512">
        <x:v>17</x:v>
      </x:c>
      <x:c r="Z68" s="512">
        <x:v>3</x:v>
      </x:c>
      <x:c r="AA68" s="636">
        <x:v>4</x:v>
      </x:c>
      <x:c r="AB68" s="512">
        <x:v>15</x:v>
      </x:c>
      <x:c r="AC68" s="512">
        <x:v>2</x:v>
      </x:c>
      <x:c r="AD68" s="512">
        <x:v>14</x:v>
      </x:c>
      <x:c r="AE68" s="512">
        <x:v>15</x:v>
      </x:c>
      <x:c r="AF68" s="512">
        <x:v>7</x:v>
      </x:c>
      <x:c r="AG68" s="512">
        <x:v>6</x:v>
      </x:c>
      <x:c r="AH68" s="512">
        <x:v>10</x:v>
      </x:c>
      <x:c r="AI68" s="512">
        <x:v>3</x:v>
      </x:c>
      <x:c r="AJ68" s="512">
        <x:v>14</x:v>
      </x:c>
      <x:c r="AK68" s="512">
        <x:v>3</x:v>
      </x:c>
      <x:c r="AL68" s="512">
        <x:v>4</x:v>
      </x:c>
      <x:c r="AM68" s="512">
        <x:v>4</x:v>
      </x:c>
      <x:c r="AN68" s="512"/>
      <x:c r="AO68" s="512"/>
      <x:c r="AP68" s="512"/>
      <x:c r="AQ68" s="512"/>
      <x:c r="AR68" s="512"/>
      <x:c r="AS68" s="512"/>
      <x:c r="AT68" s="512"/>
      <x:c r="AU68" s="512"/>
      <x:c r="AV68" s="512"/>
      <x:c r="AW68" s="512"/>
      <x:c r="AX68" s="512"/>
      <x:c r="AY68" s="512"/>
      <x:c r="AZ68" s="512"/>
      <x:c r="BA68" s="512"/>
      <x:c r="BB68" s="512"/>
      <x:c r="BC68" s="512"/>
      <x:c r="BD68" s="514"/>
    </x:row>
    <x:row r="69" ht="19" customHeight="1">
      <x:c r="B69" s="509">
        <x:v>5</x:v>
      </x:c>
      <x:c r="C69" s="512">
        <x:v>30</x:v>
      </x:c>
      <x:c r="D69" s="512">
        <x:v>33</x:v>
      </x:c>
      <x:c r="E69" s="512">
        <x:v>27</x:v>
      </x:c>
      <x:c r="F69" s="512">
        <x:v>46</x:v>
      </x:c>
      <x:c r="G69" s="512">
        <x:v>70</x:v>
      </x:c>
      <x:c r="H69" s="512">
        <x:v>44</x:v>
      </x:c>
      <x:c r="I69" s="512">
        <x:v>51</x:v>
      </x:c>
      <x:c r="J69" s="512">
        <x:v>23</x:v>
      </x:c>
      <x:c r="K69" s="512">
        <x:v>22</x:v>
      </x:c>
      <x:c r="L69" s="512">
        <x:v>10</x:v>
      </x:c>
      <x:c r="M69" s="512">
        <x:v>18</x:v>
      </x:c>
      <x:c r="N69" s="512">
        <x:v>14</x:v>
      </x:c>
      <x:c r="O69" s="512">
        <x:v>10</x:v>
      </x:c>
      <x:c r="P69" s="512">
        <x:v>13</x:v>
      </x:c>
      <x:c r="Q69" s="512">
        <x:v>23</x:v>
      </x:c>
      <x:c r="R69" s="512">
        <x:v>11</x:v>
      </x:c>
      <x:c r="S69" s="512">
        <x:v>18</x:v>
      </x:c>
      <x:c r="T69" s="512">
        <x:v>15</x:v>
      </x:c>
      <x:c r="U69" s="512">
        <x:v>18</x:v>
      </x:c>
      <x:c r="V69" s="512">
        <x:v>12</x:v>
      </x:c>
      <x:c r="W69" s="512">
        <x:v>12</x:v>
      </x:c>
      <x:c r="X69" s="512">
        <x:v>4</x:v>
      </x:c>
      <x:c r="Y69" s="512">
        <x:v>28</x:v>
      </x:c>
      <x:c r="Z69" s="512">
        <x:v>12</x:v>
      </x:c>
      <x:c r="AA69" s="636">
        <x:v>13</x:v>
      </x:c>
      <x:c r="AB69" s="512">
        <x:v>4</x:v>
      </x:c>
      <x:c r="AC69" s="512">
        <x:v>24</x:v>
      </x:c>
      <x:c r="AD69" s="512">
        <x:v>38</x:v>
      </x:c>
      <x:c r="AE69" s="512">
        <x:v>27</x:v>
      </x:c>
      <x:c r="AF69" s="512">
        <x:v>31</x:v>
      </x:c>
      <x:c r="AG69" s="512">
        <x:v>24</x:v>
      </x:c>
      <x:c r="AH69" s="512">
        <x:v>15</x:v>
      </x:c>
      <x:c r="AI69" s="512">
        <x:v>13</x:v>
      </x:c>
      <x:c r="AJ69" s="512">
        <x:v>19</x:v>
      </x:c>
      <x:c r="AK69" s="512">
        <x:v>8</x:v>
      </x:c>
      <x:c r="AL69" s="512">
        <x:v>6</x:v>
      </x:c>
      <x:c r="AM69" s="512">
        <x:v>1</x:v>
      </x:c>
      <x:c r="AN69" s="512"/>
      <x:c r="AO69" s="512"/>
      <x:c r="AP69" s="512"/>
      <x:c r="AQ69" s="512"/>
      <x:c r="AR69" s="512"/>
      <x:c r="AS69" s="512"/>
      <x:c r="AT69" s="512"/>
      <x:c r="AU69" s="512"/>
      <x:c r="AV69" s="512"/>
      <x:c r="AW69" s="512"/>
      <x:c r="AX69" s="512"/>
      <x:c r="AY69" s="512"/>
      <x:c r="AZ69" s="512"/>
      <x:c r="BA69" s="512"/>
      <x:c r="BB69" s="512"/>
      <x:c r="BC69" s="512"/>
      <x:c r="BD69" s="514"/>
    </x:row>
    <x:row r="70" ht="19" customHeight="1">
      <x:c r="B70" s="509">
        <x:v>6</x:v>
      </x:c>
      <x:c r="C70" s="512">
        <x:v>33</x:v>
      </x:c>
      <x:c r="D70" s="512">
        <x:v>30</x:v>
      </x:c>
      <x:c r="E70" s="512">
        <x:v>34</x:v>
      </x:c>
      <x:c r="F70" s="512">
        <x:v>38</x:v>
      </x:c>
      <x:c r="G70" s="512">
        <x:v>31</x:v>
      </x:c>
      <x:c r="H70" s="512">
        <x:v>27</x:v>
      </x:c>
      <x:c r="I70" s="512">
        <x:v>19</x:v>
      </x:c>
      <x:c r="J70" s="512">
        <x:v>39</x:v>
      </x:c>
      <x:c r="K70" s="512">
        <x:v>26</x:v>
      </x:c>
      <x:c r="L70" s="512">
        <x:v>29</x:v>
      </x:c>
      <x:c r="M70" s="512">
        <x:v>31</x:v>
      </x:c>
      <x:c r="N70" s="512">
        <x:v>11</x:v>
      </x:c>
      <x:c r="O70" s="512">
        <x:v>11</x:v>
      </x:c>
      <x:c r="P70" s="512">
        <x:v>24</x:v>
      </x:c>
      <x:c r="Q70" s="512">
        <x:v>38</x:v>
      </x:c>
      <x:c r="R70" s="512">
        <x:v>43</x:v>
      </x:c>
      <x:c r="S70" s="512">
        <x:v>41</x:v>
      </x:c>
      <x:c r="T70" s="512">
        <x:v>21</x:v>
      </x:c>
      <x:c r="U70" s="512">
        <x:v>8</x:v>
      </x:c>
      <x:c r="V70" s="512">
        <x:v>10</x:v>
      </x:c>
      <x:c r="W70" s="512">
        <x:v>17</x:v>
      </x:c>
      <x:c r="X70" s="512">
        <x:v>13</x:v>
      </x:c>
      <x:c r="Y70" s="512">
        <x:v>10</x:v>
      </x:c>
      <x:c r="Z70" s="512">
        <x:v>12</x:v>
      </x:c>
      <x:c r="AA70" s="636">
        <x:v>15</x:v>
      </x:c>
      <x:c r="AB70" s="512">
        <x:v>25</x:v>
      </x:c>
      <x:c r="AC70" s="512">
        <x:v>35</x:v>
      </x:c>
      <x:c r="AD70" s="512">
        <x:v>57</x:v>
      </x:c>
      <x:c r="AE70" s="512">
        <x:v>56</x:v>
      </x:c>
      <x:c r="AF70" s="512">
        <x:v>39</x:v>
      </x:c>
      <x:c r="AG70" s="512">
        <x:v>23</x:v>
      </x:c>
      <x:c r="AH70" s="512">
        <x:v>55</x:v>
      </x:c>
      <x:c r="AI70" s="512">
        <x:v>59</x:v>
      </x:c>
      <x:c r="AJ70" s="512">
        <x:v>77</x:v>
      </x:c>
      <x:c r="AK70" s="512">
        <x:v>40</x:v>
      </x:c>
      <x:c r="AL70" s="512">
        <x:v>63</x:v>
      </x:c>
      <x:c r="AM70" s="512">
        <x:v>27</x:v>
      </x:c>
      <x:c r="AN70" s="512"/>
      <x:c r="AO70" s="512"/>
      <x:c r="AP70" s="512"/>
      <x:c r="AQ70" s="512"/>
      <x:c r="AR70" s="512"/>
      <x:c r="AS70" s="512"/>
      <x:c r="AT70" s="512"/>
      <x:c r="AU70" s="512"/>
      <x:c r="AV70" s="512"/>
      <x:c r="AW70" s="512"/>
      <x:c r="AX70" s="512"/>
      <x:c r="AY70" s="512"/>
      <x:c r="AZ70" s="512"/>
      <x:c r="BA70" s="512"/>
      <x:c r="BB70" s="512"/>
      <x:c r="BC70" s="512"/>
      <x:c r="BD70" s="514"/>
    </x:row>
    <x:row r="71" ht="19" customHeight="1">
      <x:c r="B71" s="509">
        <x:v>7</x:v>
      </x:c>
      <x:c r="C71" s="512">
        <x:v>18</x:v>
      </x:c>
      <x:c r="D71" s="512">
        <x:v>8</x:v>
      </x:c>
      <x:c r="E71" s="512">
        <x:v>14</x:v>
      </x:c>
      <x:c r="F71" s="512">
        <x:v>16</x:v>
      </x:c>
      <x:c r="G71" s="512">
        <x:v>17</x:v>
      </x:c>
      <x:c r="H71" s="512">
        <x:v>12</x:v>
      </x:c>
      <x:c r="I71" s="512">
        <x:v>15</x:v>
      </x:c>
      <x:c r="J71" s="512">
        <x:v>29</x:v>
      </x:c>
      <x:c r="K71" s="512">
        <x:v>14</x:v>
      </x:c>
      <x:c r="L71" s="512">
        <x:v>24</x:v>
      </x:c>
      <x:c r="M71" s="512">
        <x:v>22</x:v>
      </x:c>
      <x:c r="N71" s="512">
        <x:v>20</x:v>
      </x:c>
      <x:c r="O71" s="512">
        <x:v>35</x:v>
      </x:c>
      <x:c r="P71" s="512">
        <x:v>27</x:v>
      </x:c>
      <x:c r="Q71" s="512">
        <x:v>43</x:v>
      </x:c>
      <x:c r="R71" s="512">
        <x:v>39</x:v>
      </x:c>
      <x:c r="S71" s="512">
        <x:v>51</x:v>
      </x:c>
      <x:c r="T71" s="512">
        <x:v>41</x:v>
      </x:c>
      <x:c r="U71" s="512">
        <x:v>36</x:v>
      </x:c>
      <x:c r="V71" s="512">
        <x:v>25</x:v>
      </x:c>
      <x:c r="W71" s="512">
        <x:v>20</x:v>
      </x:c>
      <x:c r="X71" s="512">
        <x:v>23</x:v>
      </x:c>
      <x:c r="Y71" s="512">
        <x:v>15</x:v>
      </x:c>
      <x:c r="Z71" s="512">
        <x:v>19</x:v>
      </x:c>
      <x:c r="AA71" s="636">
        <x:v>23</x:v>
      </x:c>
      <x:c r="AB71" s="512">
        <x:v>24</x:v>
      </x:c>
      <x:c r="AC71" s="512">
        <x:v>37</x:v>
      </x:c>
      <x:c r="AD71" s="512">
        <x:v>29</x:v>
      </x:c>
      <x:c r="AE71" s="512">
        <x:v>34</x:v>
      </x:c>
      <x:c r="AF71" s="512">
        <x:v>18</x:v>
      </x:c>
      <x:c r="AG71" s="512">
        <x:v>6</x:v>
      </x:c>
      <x:c r="AH71" s="512">
        <x:v>42</x:v>
      </x:c>
      <x:c r="AI71" s="512">
        <x:v>81</x:v>
      </x:c>
      <x:c r="AJ71" s="512">
        <x:v>84</x:v>
      </x:c>
      <x:c r="AK71" s="512">
        <x:v>26</x:v>
      </x:c>
      <x:c r="AL71" s="512">
        <x:v>21</x:v>
      </x:c>
      <x:c r="AM71" s="512">
        <x:v>17</x:v>
      </x:c>
      <x:c r="AN71" s="512"/>
      <x:c r="AO71" s="512"/>
      <x:c r="AP71" s="512"/>
      <x:c r="AQ71" s="512"/>
      <x:c r="AR71" s="512"/>
      <x:c r="AS71" s="512"/>
      <x:c r="AT71" s="512"/>
      <x:c r="AU71" s="512"/>
      <x:c r="AV71" s="512"/>
      <x:c r="AW71" s="512"/>
      <x:c r="AX71" s="512"/>
      <x:c r="AY71" s="512"/>
      <x:c r="AZ71" s="512"/>
      <x:c r="BA71" s="512"/>
      <x:c r="BB71" s="512"/>
      <x:c r="BC71" s="512"/>
      <x:c r="BD71" s="514"/>
    </x:row>
    <x:row r="72" ht="19" customHeight="1">
      <x:c r="B72" s="509">
        <x:v>8</x:v>
      </x:c>
      <x:c r="C72" s="512">
        <x:v>35</x:v>
      </x:c>
      <x:c r="D72" s="512">
        <x:v>31</x:v>
      </x:c>
      <x:c r="E72" s="512">
        <x:v>59</x:v>
      </x:c>
      <x:c r="F72" s="512">
        <x:v>68</x:v>
      </x:c>
      <x:c r="G72" s="512">
        <x:v>68</x:v>
      </x:c>
      <x:c r="H72" s="512">
        <x:v>43</x:v>
      </x:c>
      <x:c r="I72" s="512">
        <x:v>37</x:v>
      </x:c>
      <x:c r="J72" s="512">
        <x:v>40</x:v>
      </x:c>
      <x:c r="K72" s="512">
        <x:v>30</x:v>
      </x:c>
      <x:c r="L72" s="512">
        <x:v>56</x:v>
      </x:c>
      <x:c r="M72" s="512">
        <x:v>41</x:v>
      </x:c>
      <x:c r="N72" s="512">
        <x:v>26</x:v>
      </x:c>
      <x:c r="O72" s="512">
        <x:v>12</x:v>
      </x:c>
      <x:c r="P72" s="512">
        <x:v>37</x:v>
      </x:c>
      <x:c r="Q72" s="512">
        <x:v>44</x:v>
      </x:c>
      <x:c r="R72" s="512">
        <x:v>44</x:v>
      </x:c>
      <x:c r="S72" s="512">
        <x:v>43</x:v>
      </x:c>
      <x:c r="T72" s="512">
        <x:v>32</x:v>
      </x:c>
      <x:c r="U72" s="512">
        <x:v>31</x:v>
      </x:c>
      <x:c r="V72" s="512">
        <x:v>28</x:v>
      </x:c>
      <x:c r="W72" s="512">
        <x:v>31</x:v>
      </x:c>
      <x:c r="X72" s="512">
        <x:v>30</x:v>
      </x:c>
      <x:c r="Y72" s="512">
        <x:v>30</x:v>
      </x:c>
      <x:c r="Z72" s="512">
        <x:v>25</x:v>
      </x:c>
      <x:c r="AA72" s="636">
        <x:v>23</x:v>
      </x:c>
      <x:c r="AB72" s="512">
        <x:v>39</x:v>
      </x:c>
      <x:c r="AC72" s="512">
        <x:v>66</x:v>
      </x:c>
      <x:c r="AD72" s="512">
        <x:v>57</x:v>
      </x:c>
      <x:c r="AE72" s="512">
        <x:v>57</x:v>
      </x:c>
      <x:c r="AF72" s="512">
        <x:v>49</x:v>
      </x:c>
      <x:c r="AG72" s="512">
        <x:v>52</x:v>
      </x:c>
      <x:c r="AH72" s="512">
        <x:v>81</x:v>
      </x:c>
      <x:c r="AI72" s="512">
        <x:v>169</x:v>
      </x:c>
      <x:c r="AJ72" s="512">
        <x:v>119</x:v>
      </x:c>
      <x:c r="AK72" s="512">
        <x:v>60</x:v>
      </x:c>
      <x:c r="AL72" s="512">
        <x:v>106</x:v>
      </x:c>
      <x:c r="AM72" s="512">
        <x:v>70</x:v>
      </x:c>
      <x:c r="AN72" s="512"/>
      <x:c r="AO72" s="512"/>
      <x:c r="AP72" s="512"/>
      <x:c r="AQ72" s="512"/>
      <x:c r="AR72" s="512"/>
      <x:c r="AS72" s="512"/>
      <x:c r="AT72" s="512"/>
      <x:c r="AU72" s="512"/>
      <x:c r="AV72" s="512"/>
      <x:c r="AW72" s="512"/>
      <x:c r="AX72" s="512"/>
      <x:c r="AY72" s="512"/>
      <x:c r="AZ72" s="512"/>
      <x:c r="BA72" s="512"/>
      <x:c r="BB72" s="512"/>
      <x:c r="BC72" s="512"/>
      <x:c r="BD72" s="514"/>
    </x:row>
    <x:row r="73" ht="19" customHeight="1">
      <x:c r="B73" s="509">
        <x:v>9</x:v>
      </x:c>
      <x:c r="C73" s="512">
        <x:v>53</x:v>
      </x:c>
      <x:c r="D73" s="512">
        <x:v>52</x:v>
      </x:c>
      <x:c r="E73" s="512">
        <x:v>73</x:v>
      </x:c>
      <x:c r="F73" s="512">
        <x:v>63</x:v>
      </x:c>
      <x:c r="G73" s="512">
        <x:v>100</x:v>
      </x:c>
      <x:c r="H73" s="512">
        <x:v>65</x:v>
      </x:c>
      <x:c r="I73" s="512">
        <x:v>51</x:v>
      </x:c>
      <x:c r="J73" s="512">
        <x:v>56</x:v>
      </x:c>
      <x:c r="K73" s="512">
        <x:v>34</x:v>
      </x:c>
      <x:c r="L73" s="512">
        <x:v>21</x:v>
      </x:c>
      <x:c r="M73" s="512">
        <x:v>26</x:v>
      </x:c>
      <x:c r="N73" s="512">
        <x:v>50</x:v>
      </x:c>
      <x:c r="O73" s="512">
        <x:v>62</x:v>
      </x:c>
      <x:c r="P73" s="512">
        <x:v>86</x:v>
      </x:c>
      <x:c r="Q73" s="512">
        <x:v>128</x:v>
      </x:c>
      <x:c r="R73" s="512">
        <x:v>119</x:v>
      </x:c>
      <x:c r="S73" s="512">
        <x:v>129</x:v>
      </x:c>
      <x:c r="T73" s="512">
        <x:v>102</x:v>
      </x:c>
      <x:c r="U73" s="512">
        <x:v>74</x:v>
      </x:c>
      <x:c r="V73" s="512">
        <x:v>43</x:v>
      </x:c>
      <x:c r="W73" s="512">
        <x:v>66</x:v>
      </x:c>
      <x:c r="X73" s="512">
        <x:v>43</x:v>
      </x:c>
      <x:c r="Y73" s="512">
        <x:v>60</x:v>
      </x:c>
      <x:c r="Z73" s="512">
        <x:v>14</x:v>
      </x:c>
      <x:c r="AA73" s="636">
        <x:v>22</x:v>
      </x:c>
      <x:c r="AB73" s="512">
        <x:v>54</x:v>
      </x:c>
      <x:c r="AC73" s="512">
        <x:v>38</x:v>
      </x:c>
      <x:c r="AD73" s="512">
        <x:v>14</x:v>
      </x:c>
      <x:c r="AE73" s="512">
        <x:v>6</x:v>
      </x:c>
      <x:c r="AF73" s="512">
        <x:v>16</x:v>
      </x:c>
      <x:c r="AG73" s="512">
        <x:v>21</x:v>
      </x:c>
      <x:c r="AH73" s="512">
        <x:v>21</x:v>
      </x:c>
      <x:c r="AI73" s="512">
        <x:v>54</x:v>
      </x:c>
      <x:c r="AJ73" s="512">
        <x:v>83</x:v>
      </x:c>
      <x:c r="AK73" s="512">
        <x:v>37</x:v>
      </x:c>
      <x:c r="AL73" s="512">
        <x:v>138</x:v>
      </x:c>
      <x:c r="AM73" s="512">
        <x:v>134</x:v>
      </x:c>
      <x:c r="AN73" s="512"/>
      <x:c r="AO73" s="512"/>
      <x:c r="AP73" s="512"/>
      <x:c r="AQ73" s="512"/>
      <x:c r="AR73" s="512"/>
      <x:c r="AS73" s="512"/>
      <x:c r="AT73" s="512"/>
      <x:c r="AU73" s="512"/>
      <x:c r="AV73" s="512"/>
      <x:c r="AW73" s="512"/>
      <x:c r="AX73" s="512"/>
      <x:c r="AY73" s="512"/>
      <x:c r="AZ73" s="512"/>
      <x:c r="BA73" s="512"/>
      <x:c r="BB73" s="512"/>
      <x:c r="BC73" s="512"/>
      <x:c r="BD73" s="514"/>
    </x:row>
    <x:row r="74" ht="19" customHeight="1">
      <x:c r="B74" s="509">
        <x:v>10</x:v>
      </x:c>
      <x:c r="C74" s="512">
        <x:v>8</x:v>
      </x:c>
      <x:c r="D74" s="512">
        <x:v>10</x:v>
      </x:c>
      <x:c r="E74" s="512">
        <x:v>13</x:v>
      </x:c>
      <x:c r="F74" s="512">
        <x:v>17</x:v>
      </x:c>
      <x:c r="G74" s="512">
        <x:v>17</x:v>
      </x:c>
      <x:c r="H74" s="512">
        <x:v>18</x:v>
      </x:c>
      <x:c r="I74" s="512">
        <x:v>18</x:v>
      </x:c>
      <x:c r="J74" s="512">
        <x:v>19</x:v>
      </x:c>
      <x:c r="K74" s="512">
        <x:v>23</x:v>
      </x:c>
      <x:c r="L74" s="512">
        <x:v>24</x:v>
      </x:c>
      <x:c r="M74" s="512">
        <x:v>27</x:v>
      </x:c>
      <x:c r="N74" s="512">
        <x:v>30</x:v>
      </x:c>
      <x:c r="O74" s="512">
        <x:v>31</x:v>
      </x:c>
      <x:c r="P74" s="512">
        <x:v>35</x:v>
      </x:c>
      <x:c r="Q74" s="512">
        <x:v>37</x:v>
      </x:c>
      <x:c r="R74" s="512">
        <x:v>18</x:v>
      </x:c>
      <x:c r="S74" s="512">
        <x:v>35</x:v>
      </x:c>
      <x:c r="T74" s="512">
        <x:v>19</x:v>
      </x:c>
      <x:c r="U74" s="512">
        <x:v>10</x:v>
      </x:c>
      <x:c r="V74" s="512">
        <x:v>7</x:v>
      </x:c>
      <x:c r="W74" s="512">
        <x:v>6</x:v>
      </x:c>
      <x:c r="X74" s="512">
        <x:v>4</x:v>
      </x:c>
      <x:c r="Y74" s="512">
        <x:v>1</x:v>
      </x:c>
      <x:c r="Z74" s="512">
        <x:v>4</x:v>
      </x:c>
      <x:c r="AA74" s="636">
        <x:v>3</x:v>
      </x:c>
      <x:c r="AB74" s="512">
        <x:v>4</x:v>
      </x:c>
      <x:c r="AC74" s="512">
        <x:v>7</x:v>
      </x:c>
      <x:c r="AD74" s="512">
        <x:v>3</x:v>
      </x:c>
      <x:c r="AE74" s="512">
        <x:v>7</x:v>
      </x:c>
      <x:c r="AF74" s="512">
        <x:v>1</x:v>
      </x:c>
      <x:c r="AG74" s="512">
        <x:v>2</x:v>
      </x:c>
      <x:c r="AH74" s="512">
        <x:v>16</x:v>
      </x:c>
      <x:c r="AI74" s="512">
        <x:v>4</x:v>
      </x:c>
      <x:c r="AJ74" s="512">
        <x:v>4</x:v>
      </x:c>
      <x:c r="AK74" s="637"/>
      <x:c r="AL74" s="512">
        <x:v>6</x:v>
      </x:c>
      <x:c r="AM74" s="512">
        <x:v>2</x:v>
      </x:c>
      <x:c r="AN74" s="512"/>
      <x:c r="AO74" s="512"/>
      <x:c r="AP74" s="512"/>
      <x:c r="AQ74" s="512"/>
      <x:c r="AR74" s="512"/>
      <x:c r="AS74" s="512"/>
      <x:c r="AT74" s="512"/>
      <x:c r="AU74" s="512"/>
      <x:c r="AV74" s="512"/>
      <x:c r="AW74" s="512"/>
      <x:c r="AX74" s="512"/>
      <x:c r="AY74" s="512"/>
      <x:c r="AZ74" s="512"/>
      <x:c r="BA74" s="512"/>
      <x:c r="BB74" s="512"/>
      <x:c r="BC74" s="512"/>
      <x:c r="BD74" s="514"/>
    </x:row>
    <x:row r="75" ht="19" customHeight="1">
      <x:c r="B75" s="509">
        <x:v>11</x:v>
      </x:c>
      <x:c r="C75" s="512">
        <x:v>44</x:v>
      </x:c>
      <x:c r="D75" s="512">
        <x:v>43</x:v>
      </x:c>
      <x:c r="E75" s="512">
        <x:v>65</x:v>
      </x:c>
      <x:c r="F75" s="512">
        <x:v>73</x:v>
      </x:c>
      <x:c r="G75" s="512">
        <x:v>72</x:v>
      </x:c>
      <x:c r="H75" s="512">
        <x:v>87</x:v>
      </x:c>
      <x:c r="I75" s="512">
        <x:v>55</x:v>
      </x:c>
      <x:c r="J75" s="512">
        <x:v>44</x:v>
      </x:c>
      <x:c r="K75" s="512">
        <x:v>48</x:v>
      </x:c>
      <x:c r="L75" s="512">
        <x:v>81</x:v>
      </x:c>
      <x:c r="M75" s="512">
        <x:v>98</x:v>
      </x:c>
      <x:c r="N75" s="512">
        <x:v>88</x:v>
      </x:c>
      <x:c r="O75" s="512">
        <x:v>80</x:v>
      </x:c>
      <x:c r="P75" s="512">
        <x:v>138</x:v>
      </x:c>
      <x:c r="Q75" s="512">
        <x:v>152</x:v>
      </x:c>
      <x:c r="R75" s="512">
        <x:v>99</x:v>
      </x:c>
      <x:c r="S75" s="512">
        <x:v>62</x:v>
      </x:c>
      <x:c r="T75" s="512">
        <x:v>35</x:v>
      </x:c>
      <x:c r="U75" s="512">
        <x:v>10</x:v>
      </x:c>
      <x:c r="V75" s="512">
        <x:v>19</x:v>
      </x:c>
      <x:c r="W75" s="512">
        <x:v>23</x:v>
      </x:c>
      <x:c r="X75" s="512">
        <x:v>20</x:v>
      </x:c>
      <x:c r="Y75" s="512">
        <x:v>20</x:v>
      </x:c>
      <x:c r="Z75" s="512">
        <x:v>20</x:v>
      </x:c>
      <x:c r="AA75" s="636">
        <x:v>18</x:v>
      </x:c>
      <x:c r="AB75" s="512">
        <x:v>11</x:v>
      </x:c>
      <x:c r="AC75" s="512">
        <x:v>15</x:v>
      </x:c>
      <x:c r="AD75" s="512">
        <x:v>14</x:v>
      </x:c>
      <x:c r="AE75" s="512">
        <x:v>6</x:v>
      </x:c>
      <x:c r="AF75" s="512">
        <x:v>1</x:v>
      </x:c>
      <x:c r="AG75" s="512">
        <x:v>2</x:v>
      </x:c>
      <x:c r="AH75" s="512">
        <x:v>5</x:v>
      </x:c>
      <x:c r="AI75" s="512">
        <x:v>6</x:v>
      </x:c>
      <x:c r="AJ75" s="512">
        <x:v>6</x:v>
      </x:c>
      <x:c r="AK75" s="512">
        <x:v>3</x:v>
      </x:c>
      <x:c r="AL75" s="512">
        <x:v>14</x:v>
      </x:c>
      <x:c r="AM75" s="512">
        <x:v>10</x:v>
      </x:c>
      <x:c r="AN75" s="512"/>
      <x:c r="AO75" s="512"/>
      <x:c r="AP75" s="512"/>
      <x:c r="AQ75" s="512"/>
      <x:c r="AR75" s="512"/>
      <x:c r="AS75" s="512"/>
      <x:c r="AT75" s="512"/>
      <x:c r="AU75" s="512"/>
      <x:c r="AV75" s="512"/>
      <x:c r="AW75" s="512"/>
      <x:c r="AX75" s="512"/>
      <x:c r="AY75" s="512"/>
      <x:c r="AZ75" s="512"/>
      <x:c r="BA75" s="512"/>
      <x:c r="BB75" s="512"/>
      <x:c r="BC75" s="512"/>
      <x:c r="BD75" s="514"/>
    </x:row>
    <x:row r="76" ht="19" customHeight="1">
      <x:c r="B76" s="509">
        <x:v>12</x:v>
      </x:c>
      <x:c r="C76" s="512">
        <x:v>18</x:v>
      </x:c>
      <x:c r="D76" s="512">
        <x:v>15</x:v>
      </x:c>
      <x:c r="E76" s="512">
        <x:v>31</x:v>
      </x:c>
      <x:c r="F76" s="512">
        <x:v>29</x:v>
      </x:c>
      <x:c r="G76" s="512">
        <x:v>17</x:v>
      </x:c>
      <x:c r="H76" s="512">
        <x:v>21</x:v>
      </x:c>
      <x:c r="I76" s="512">
        <x:v>29</x:v>
      </x:c>
      <x:c r="J76" s="512">
        <x:v>22</x:v>
      </x:c>
      <x:c r="K76" s="512">
        <x:v>18</x:v>
      </x:c>
      <x:c r="L76" s="512">
        <x:v>22</x:v>
      </x:c>
      <x:c r="M76" s="512">
        <x:v>5</x:v>
      </x:c>
      <x:c r="N76" s="512">
        <x:v>2</x:v>
      </x:c>
      <x:c r="O76" s="512">
        <x:v>6</x:v>
      </x:c>
      <x:c r="P76" s="512">
        <x:v>5</x:v>
      </x:c>
      <x:c r="Q76" s="512">
        <x:v>19</x:v>
      </x:c>
      <x:c r="R76" s="512">
        <x:v>3</x:v>
      </x:c>
      <x:c r="S76" s="512">
        <x:v>23</x:v>
      </x:c>
      <x:c r="T76" s="512">
        <x:v>9</x:v>
      </x:c>
      <x:c r="U76" s="512">
        <x:v>3</x:v>
      </x:c>
      <x:c r="V76" s="512">
        <x:v>4</x:v>
      </x:c>
      <x:c r="W76" s="512">
        <x:v>4</x:v>
      </x:c>
      <x:c r="X76" s="512">
        <x:v>6</x:v>
      </x:c>
      <x:c r="Y76" s="512">
        <x:v>13</x:v>
      </x:c>
      <x:c r="Z76" s="512">
        <x:v>2</x:v>
      </x:c>
      <x:c r="AA76" s="636">
        <x:v>0</x:v>
      </x:c>
      <x:c r="AB76" s="512">
        <x:v>8</x:v>
      </x:c>
      <x:c r="AC76" s="512">
        <x:v>6</x:v>
      </x:c>
      <x:c r="AD76" s="512">
        <x:v>9</x:v>
      </x:c>
      <x:c r="AE76" s="512">
        <x:v>18</x:v>
      </x:c>
      <x:c r="AF76" s="512">
        <x:v>14</x:v>
      </x:c>
      <x:c r="AG76" s="512">
        <x:v>10</x:v>
      </x:c>
      <x:c r="AH76" s="512">
        <x:v>3</x:v>
      </x:c>
      <x:c r="AI76" s="512">
        <x:v>15</x:v>
      </x:c>
      <x:c r="AJ76" s="512">
        <x:v>15</x:v>
      </x:c>
      <x:c r="AK76" s="512">
        <x:v>9</x:v>
      </x:c>
      <x:c r="AL76" s="637">
        <x:v>0</x:v>
      </x:c>
      <x:c r="AM76" s="512">
        <x:v>24</x:v>
      </x:c>
      <x:c r="AN76" s="512"/>
      <x:c r="AO76" s="512"/>
      <x:c r="AP76" s="512"/>
      <x:c r="AQ76" s="512"/>
      <x:c r="AR76" s="512"/>
      <x:c r="AS76" s="512"/>
      <x:c r="AT76" s="512"/>
      <x:c r="AU76" s="512"/>
      <x:c r="AV76" s="512"/>
      <x:c r="AW76" s="512"/>
      <x:c r="AX76" s="512"/>
      <x:c r="AY76" s="512"/>
      <x:c r="AZ76" s="512"/>
      <x:c r="BA76" s="512"/>
      <x:c r="BB76" s="512"/>
      <x:c r="BC76" s="512"/>
      <x:c r="BD76" s="514"/>
    </x:row>
    <x:row r="77" ht="19" customHeight="1">
      <x:c r="B77" s="509">
        <x:v>13</x:v>
      </x:c>
      <x:c r="C77" s="512">
        <x:v>9</x:v>
      </x:c>
      <x:c r="D77" s="512">
        <x:v>16</x:v>
      </x:c>
      <x:c r="E77" s="512">
        <x:v>26</x:v>
      </x:c>
      <x:c r="F77" s="512">
        <x:v>18</x:v>
      </x:c>
      <x:c r="G77" s="512">
        <x:v>29</x:v>
      </x:c>
      <x:c r="H77" s="512">
        <x:v>30</x:v>
      </x:c>
      <x:c r="I77" s="512">
        <x:v>9</x:v>
      </x:c>
      <x:c r="J77" s="512">
        <x:v>13</x:v>
      </x:c>
      <x:c r="K77" s="512">
        <x:v>15</x:v>
      </x:c>
      <x:c r="L77" s="512">
        <x:v>8</x:v>
      </x:c>
      <x:c r="M77" s="512">
        <x:v>7</x:v>
      </x:c>
      <x:c r="N77" s="512">
        <x:v>13</x:v>
      </x:c>
      <x:c r="O77" s="512">
        <x:v>8</x:v>
      </x:c>
      <x:c r="P77" s="512">
        <x:v>4</x:v>
      </x:c>
      <x:c r="Q77" s="512">
        <x:v>6</x:v>
      </x:c>
      <x:c r="R77" s="512">
        <x:v>9</x:v>
      </x:c>
      <x:c r="S77" s="512">
        <x:v>12</x:v>
      </x:c>
      <x:c r="T77" s="512">
        <x:v>8</x:v>
      </x:c>
      <x:c r="U77" s="512">
        <x:v>3</x:v>
      </x:c>
      <x:c r="V77" s="512">
        <x:v>8</x:v>
      </x:c>
      <x:c r="W77" s="512">
        <x:v>5</x:v>
      </x:c>
      <x:c r="X77" s="512">
        <x:v>1</x:v>
      </x:c>
      <x:c r="Y77" s="512">
        <x:v>3</x:v>
      </x:c>
      <x:c r="Z77" s="512">
        <x:v>3</x:v>
      </x:c>
      <x:c r="AA77" s="636">
        <x:v>8</x:v>
      </x:c>
      <x:c r="AB77" s="512">
        <x:v>13</x:v>
      </x:c>
      <x:c r="AC77" s="512">
        <x:v>19</x:v>
      </x:c>
      <x:c r="AD77" s="512">
        <x:v>31</x:v>
      </x:c>
      <x:c r="AE77" s="512">
        <x:v>26</x:v>
      </x:c>
      <x:c r="AF77" s="512">
        <x:v>24</x:v>
      </x:c>
      <x:c r="AG77" s="512">
        <x:v>40</x:v>
      </x:c>
      <x:c r="AH77" s="512">
        <x:v>34</x:v>
      </x:c>
      <x:c r="AI77" s="512">
        <x:v>47</x:v>
      </x:c>
      <x:c r="AJ77" s="512">
        <x:v>55</x:v>
      </x:c>
      <x:c r="AK77" s="512">
        <x:v>32</x:v>
      </x:c>
      <x:c r="AL77" s="512">
        <x:v>43</x:v>
      </x:c>
      <x:c r="AM77" s="512">
        <x:v>47</x:v>
      </x:c>
      <x:c r="AN77" s="512"/>
      <x:c r="AO77" s="512"/>
      <x:c r="AP77" s="512"/>
      <x:c r="AQ77" s="512"/>
      <x:c r="AR77" s="512"/>
      <x:c r="AS77" s="512"/>
      <x:c r="AT77" s="512"/>
      <x:c r="AU77" s="512"/>
      <x:c r="AV77" s="512"/>
      <x:c r="AW77" s="512"/>
      <x:c r="AX77" s="512"/>
      <x:c r="AY77" s="512"/>
      <x:c r="AZ77" s="512"/>
      <x:c r="BA77" s="512"/>
      <x:c r="BB77" s="512"/>
      <x:c r="BC77" s="512"/>
      <x:c r="BD77" s="514"/>
    </x:row>
    <x:row r="78" ht="19" customHeight="1">
      <x:c r="B78" s="509">
        <x:v>14</x:v>
      </x:c>
      <x:c r="C78" s="512">
        <x:v>14</x:v>
      </x:c>
      <x:c r="D78" s="512">
        <x:v>14</x:v>
      </x:c>
      <x:c r="E78" s="512">
        <x:v>14</x:v>
      </x:c>
      <x:c r="F78" s="512">
        <x:v>17</x:v>
      </x:c>
      <x:c r="G78" s="512">
        <x:v>15</x:v>
      </x:c>
      <x:c r="H78" s="512">
        <x:v>35</x:v>
      </x:c>
      <x:c r="I78" s="512">
        <x:v>13</x:v>
      </x:c>
      <x:c r="J78" s="512">
        <x:v>18</x:v>
      </x:c>
      <x:c r="K78" s="512">
        <x:v>9</x:v>
      </x:c>
      <x:c r="L78" s="512">
        <x:v>25</x:v>
      </x:c>
      <x:c r="M78" s="512">
        <x:v>12</x:v>
      </x:c>
      <x:c r="N78" s="512">
        <x:v>11</x:v>
      </x:c>
      <x:c r="O78" s="512">
        <x:v>14</x:v>
      </x:c>
      <x:c r="P78" s="512">
        <x:v>24</x:v>
      </x:c>
      <x:c r="Q78" s="512">
        <x:v>14</x:v>
      </x:c>
      <x:c r="R78" s="512">
        <x:v>17</x:v>
      </x:c>
      <x:c r="S78" s="512">
        <x:v>22</x:v>
      </x:c>
      <x:c r="T78" s="512">
        <x:v>27</x:v>
      </x:c>
      <x:c r="U78" s="512">
        <x:v>16</x:v>
      </x:c>
      <x:c r="V78" s="512">
        <x:v>7</x:v>
      </x:c>
      <x:c r="W78" s="512">
        <x:v>15</x:v>
      </x:c>
      <x:c r="X78" s="512">
        <x:v>4</x:v>
      </x:c>
      <x:c r="Y78" s="512">
        <x:v>4</x:v>
      </x:c>
      <x:c r="Z78" s="512">
        <x:v>9</x:v>
      </x:c>
      <x:c r="AA78" s="636">
        <x:v>11</x:v>
      </x:c>
      <x:c r="AB78" s="512">
        <x:v>11</x:v>
      </x:c>
      <x:c r="AC78" s="512">
        <x:v>24</x:v>
      </x:c>
      <x:c r="AD78" s="512">
        <x:v>21</x:v>
      </x:c>
      <x:c r="AE78" s="512">
        <x:v>14</x:v>
      </x:c>
      <x:c r="AF78" s="512">
        <x:v>6</x:v>
      </x:c>
      <x:c r="AG78" s="512">
        <x:v>15</x:v>
      </x:c>
      <x:c r="AH78" s="512">
        <x:v>9</x:v>
      </x:c>
      <x:c r="AI78" s="512">
        <x:v>4</x:v>
      </x:c>
      <x:c r="AJ78" s="512">
        <x:v>6</x:v>
      </x:c>
      <x:c r="AK78" s="512">
        <x:v>1</x:v>
      </x:c>
      <x:c r="AL78" s="512">
        <x:v>4</x:v>
      </x:c>
      <x:c r="AM78" s="512">
        <x:v>2</x:v>
      </x:c>
      <x:c r="AN78" s="512"/>
      <x:c r="AO78" s="512"/>
      <x:c r="AP78" s="512"/>
      <x:c r="AQ78" s="512"/>
      <x:c r="AR78" s="512"/>
      <x:c r="AS78" s="512"/>
      <x:c r="AT78" s="512"/>
      <x:c r="AU78" s="512"/>
      <x:c r="AV78" s="512"/>
      <x:c r="AW78" s="512"/>
      <x:c r="AX78" s="512"/>
      <x:c r="AY78" s="512"/>
      <x:c r="AZ78" s="512"/>
      <x:c r="BA78" s="512"/>
      <x:c r="BB78" s="512"/>
      <x:c r="BC78" s="512"/>
      <x:c r="BD78" s="514"/>
    </x:row>
    <x:row r="79" ht="19" customHeight="1">
      <x:c r="B79" s="509">
        <x:v>15</x:v>
      </x:c>
      <x:c r="C79" s="512">
        <x:v>52</x:v>
      </x:c>
      <x:c r="D79" s="512">
        <x:v>39</x:v>
      </x:c>
      <x:c r="E79" s="512">
        <x:v>77</x:v>
      </x:c>
      <x:c r="F79" s="512">
        <x:v>67</x:v>
      </x:c>
      <x:c r="G79" s="512">
        <x:v>99</x:v>
      </x:c>
      <x:c r="H79" s="512">
        <x:v>72</x:v>
      </x:c>
      <x:c r="I79" s="512">
        <x:v>38</x:v>
      </x:c>
      <x:c r="J79" s="512">
        <x:v>25</x:v>
      </x:c>
      <x:c r="K79" s="512">
        <x:v>14</x:v>
      </x:c>
      <x:c r="L79" s="512">
        <x:v>46</x:v>
      </x:c>
      <x:c r="M79" s="512">
        <x:v>32</x:v>
      </x:c>
      <x:c r="N79" s="512">
        <x:v>27</x:v>
      </x:c>
      <x:c r="O79" s="512">
        <x:v>29</x:v>
      </x:c>
      <x:c r="P79" s="512">
        <x:v>40</x:v>
      </x:c>
      <x:c r="Q79" s="512">
        <x:v>44</x:v>
      </x:c>
      <x:c r="R79" s="512">
        <x:v>28</x:v>
      </x:c>
      <x:c r="S79" s="512">
        <x:v>30</x:v>
      </x:c>
      <x:c r="T79" s="512">
        <x:v>22</x:v>
      </x:c>
      <x:c r="U79" s="512">
        <x:v>24</x:v>
      </x:c>
      <x:c r="V79" s="512">
        <x:v>33</x:v>
      </x:c>
      <x:c r="W79" s="512">
        <x:v>21</x:v>
      </x:c>
      <x:c r="X79" s="512">
        <x:v>7</x:v>
      </x:c>
      <x:c r="Y79" s="512">
        <x:v>13</x:v>
      </x:c>
      <x:c r="Z79" s="512">
        <x:v>11</x:v>
      </x:c>
      <x:c r="AA79" s="636">
        <x:v>16</x:v>
      </x:c>
      <x:c r="AB79" s="512">
        <x:v>18</x:v>
      </x:c>
      <x:c r="AC79" s="512">
        <x:v>15</x:v>
      </x:c>
      <x:c r="AD79" s="512">
        <x:v>24</x:v>
      </x:c>
      <x:c r="AE79" s="512">
        <x:v>17</x:v>
      </x:c>
      <x:c r="AF79" s="512">
        <x:v>31</x:v>
      </x:c>
      <x:c r="AG79" s="512">
        <x:v>23</x:v>
      </x:c>
      <x:c r="AH79" s="512">
        <x:v>98</x:v>
      </x:c>
      <x:c r="AI79" s="512">
        <x:v>57</x:v>
      </x:c>
      <x:c r="AJ79" s="512">
        <x:v>75</x:v>
      </x:c>
      <x:c r="AK79" s="512">
        <x:v>41</x:v>
      </x:c>
      <x:c r="AL79" s="512">
        <x:v>46</x:v>
      </x:c>
      <x:c r="AM79" s="512">
        <x:v>43</x:v>
      </x:c>
      <x:c r="AN79" s="512"/>
      <x:c r="AO79" s="512"/>
      <x:c r="AP79" s="512"/>
      <x:c r="AQ79" s="512"/>
      <x:c r="AR79" s="512"/>
      <x:c r="AS79" s="512"/>
      <x:c r="AT79" s="512"/>
      <x:c r="AU79" s="512"/>
      <x:c r="AV79" s="512"/>
      <x:c r="AW79" s="512"/>
      <x:c r="AX79" s="512"/>
      <x:c r="AY79" s="512"/>
      <x:c r="AZ79" s="512"/>
      <x:c r="BA79" s="512"/>
      <x:c r="BB79" s="512"/>
      <x:c r="BC79" s="512"/>
      <x:c r="BD79" s="514"/>
    </x:row>
    <x:row r="80" ht="19" customHeight="1">
      <x:c r="B80" s="509">
        <x:v>16</x:v>
      </x:c>
      <x:c r="C80" s="512">
        <x:v>43</x:v>
      </x:c>
      <x:c r="D80" s="512">
        <x:v>29</x:v>
      </x:c>
      <x:c r="E80" s="512">
        <x:v>46</x:v>
      </x:c>
      <x:c r="F80" s="512">
        <x:v>38</x:v>
      </x:c>
      <x:c r="G80" s="512">
        <x:v>61</x:v>
      </x:c>
      <x:c r="H80" s="512">
        <x:v>51</x:v>
      </x:c>
      <x:c r="I80" s="512">
        <x:v>45</x:v>
      </x:c>
      <x:c r="J80" s="512">
        <x:v>32</x:v>
      </x:c>
      <x:c r="K80" s="512">
        <x:v>48</x:v>
      </x:c>
      <x:c r="L80" s="512">
        <x:v>67</x:v>
      </x:c>
      <x:c r="M80" s="512">
        <x:v>32</x:v>
      </x:c>
      <x:c r="N80" s="512">
        <x:v>17</x:v>
      </x:c>
      <x:c r="O80" s="512">
        <x:v>24</x:v>
      </x:c>
      <x:c r="P80" s="512">
        <x:v>23</x:v>
      </x:c>
      <x:c r="Q80" s="512">
        <x:v>26</x:v>
      </x:c>
      <x:c r="R80" s="512">
        <x:v>27</x:v>
      </x:c>
      <x:c r="S80" s="512">
        <x:v>33</x:v>
      </x:c>
      <x:c r="T80" s="512">
        <x:v>9</x:v>
      </x:c>
      <x:c r="U80" s="512">
        <x:v>10</x:v>
      </x:c>
      <x:c r="V80" s="512">
        <x:v>7</x:v>
      </x:c>
      <x:c r="W80" s="512">
        <x:v>4</x:v>
      </x:c>
      <x:c r="X80" s="512">
        <x:v>2</x:v>
      </x:c>
      <x:c r="Y80" s="512">
        <x:v>3</x:v>
      </x:c>
      <x:c r="Z80" s="512">
        <x:v>2</x:v>
      </x:c>
      <x:c r="AA80" s="636">
        <x:v>1</x:v>
      </x:c>
      <x:c r="AB80" s="512">
        <x:v>4</x:v>
      </x:c>
      <x:c r="AC80" s="512">
        <x:v>7</x:v>
      </x:c>
      <x:c r="AD80" s="512">
        <x:v>18</x:v>
      </x:c>
      <x:c r="AE80" s="512">
        <x:v>26</x:v>
      </x:c>
      <x:c r="AF80" s="512">
        <x:v>21</x:v>
      </x:c>
      <x:c r="AG80" s="512">
        <x:v>10</x:v>
      </x:c>
      <x:c r="AH80" s="512">
        <x:v>37</x:v>
      </x:c>
      <x:c r="AI80" s="512">
        <x:v>87</x:v>
      </x:c>
      <x:c r="AJ80" s="512">
        <x:v>106</x:v>
      </x:c>
      <x:c r="AK80" s="512">
        <x:v>60</x:v>
      </x:c>
      <x:c r="AL80" s="512">
        <x:v>74</x:v>
      </x:c>
      <x:c r="AM80" s="512">
        <x:v>53</x:v>
      </x:c>
      <x:c r="AN80" s="512"/>
      <x:c r="AO80" s="512"/>
      <x:c r="AP80" s="512"/>
      <x:c r="AQ80" s="512"/>
      <x:c r="AR80" s="512"/>
      <x:c r="AS80" s="512"/>
      <x:c r="AT80" s="512"/>
      <x:c r="AU80" s="512"/>
      <x:c r="AV80" s="512"/>
      <x:c r="AW80" s="512"/>
      <x:c r="AX80" s="512"/>
      <x:c r="AY80" s="512"/>
      <x:c r="AZ80" s="512"/>
      <x:c r="BA80" s="512"/>
      <x:c r="BB80" s="512"/>
      <x:c r="BC80" s="512"/>
      <x:c r="BD80" s="514"/>
    </x:row>
    <x:row r="81" ht="19" customHeight="1">
      <x:c r="B81" s="509">
        <x:v>17</x:v>
      </x:c>
      <x:c r="C81" s="512">
        <x:v>32</x:v>
      </x:c>
      <x:c r="D81" s="512">
        <x:v>33</x:v>
      </x:c>
      <x:c r="E81" s="512">
        <x:v>48</x:v>
      </x:c>
      <x:c r="F81" s="512">
        <x:v>45</x:v>
      </x:c>
      <x:c r="G81" s="512">
        <x:v>23</x:v>
      </x:c>
      <x:c r="H81" s="512">
        <x:v>20</x:v>
      </x:c>
      <x:c r="I81" s="512">
        <x:v>23</x:v>
      </x:c>
      <x:c r="J81" s="512">
        <x:v>25</x:v>
      </x:c>
      <x:c r="K81" s="512">
        <x:v>40</x:v>
      </x:c>
      <x:c r="L81" s="512">
        <x:v>69</x:v>
      </x:c>
      <x:c r="M81" s="512">
        <x:v>86</x:v>
      </x:c>
      <x:c r="N81" s="512">
        <x:v>48</x:v>
      </x:c>
      <x:c r="O81" s="512">
        <x:v>59</x:v>
      </x:c>
      <x:c r="P81" s="512">
        <x:v>83</x:v>
      </x:c>
      <x:c r="Q81" s="512">
        <x:v>82</x:v>
      </x:c>
      <x:c r="R81" s="512">
        <x:v>68</x:v>
      </x:c>
      <x:c r="S81" s="512">
        <x:v>69</x:v>
      </x:c>
      <x:c r="T81" s="512">
        <x:v>38</x:v>
      </x:c>
      <x:c r="U81" s="512">
        <x:v>15</x:v>
      </x:c>
      <x:c r="V81" s="512">
        <x:v>23</x:v>
      </x:c>
      <x:c r="W81" s="512">
        <x:v>24</x:v>
      </x:c>
      <x:c r="X81" s="512">
        <x:v>10</x:v>
      </x:c>
      <x:c r="Y81" s="512">
        <x:v>18</x:v>
      </x:c>
      <x:c r="Z81" s="512">
        <x:v>14</x:v>
      </x:c>
      <x:c r="AA81" s="636">
        <x:v>25</x:v>
      </x:c>
      <x:c r="AB81" s="512">
        <x:v>20</x:v>
      </x:c>
      <x:c r="AC81" s="512">
        <x:v>13</x:v>
      </x:c>
      <x:c r="AD81" s="512">
        <x:v>46</x:v>
      </x:c>
      <x:c r="AE81" s="512">
        <x:v>44</x:v>
      </x:c>
      <x:c r="AF81" s="512">
        <x:v>60</x:v>
      </x:c>
      <x:c r="AG81" s="512">
        <x:v>23</x:v>
      </x:c>
      <x:c r="AH81" s="512">
        <x:v>37</x:v>
      </x:c>
      <x:c r="AI81" s="512">
        <x:v>48</x:v>
      </x:c>
      <x:c r="AJ81" s="512">
        <x:v>40</x:v>
      </x:c>
      <x:c r="AK81" s="512">
        <x:v>20</x:v>
      </x:c>
      <x:c r="AL81" s="512">
        <x:v>8</x:v>
      </x:c>
      <x:c r="AM81" s="512">
        <x:v>10</x:v>
      </x:c>
      <x:c r="AN81" s="512"/>
      <x:c r="AO81" s="512"/>
      <x:c r="AP81" s="512"/>
      <x:c r="AQ81" s="512"/>
      <x:c r="AR81" s="512"/>
      <x:c r="AS81" s="512"/>
      <x:c r="AT81" s="512"/>
      <x:c r="AU81" s="512"/>
      <x:c r="AV81" s="512"/>
      <x:c r="AW81" s="512"/>
      <x:c r="AX81" s="512"/>
      <x:c r="AY81" s="512"/>
      <x:c r="AZ81" s="512"/>
      <x:c r="BA81" s="512"/>
      <x:c r="BB81" s="512"/>
      <x:c r="BC81" s="512"/>
      <x:c r="BD81" s="514"/>
    </x:row>
    <x:row r="82" ht="19" customHeight="1">
      <x:c r="B82" s="509">
        <x:v>18</x:v>
      </x:c>
      <x:c r="C82" s="512">
        <x:v>25</x:v>
      </x:c>
      <x:c r="D82" s="512">
        <x:v>20</x:v>
      </x:c>
      <x:c r="E82" s="512">
        <x:v>34</x:v>
      </x:c>
      <x:c r="F82" s="512">
        <x:v>33</x:v>
      </x:c>
      <x:c r="G82" s="512">
        <x:v>33</x:v>
      </x:c>
      <x:c r="H82" s="512">
        <x:v>23</x:v>
      </x:c>
      <x:c r="I82" s="512">
        <x:v>17</x:v>
      </x:c>
      <x:c r="J82" s="512">
        <x:v>26</x:v>
      </x:c>
      <x:c r="K82" s="512">
        <x:v>33</x:v>
      </x:c>
      <x:c r="L82" s="512">
        <x:v>36</x:v>
      </x:c>
      <x:c r="M82" s="512">
        <x:v>27</x:v>
      </x:c>
      <x:c r="N82" s="512">
        <x:v>22</x:v>
      </x:c>
      <x:c r="O82" s="512">
        <x:v>30</x:v>
      </x:c>
      <x:c r="P82" s="512">
        <x:v>47</x:v>
      </x:c>
      <x:c r="Q82" s="512">
        <x:v>68</x:v>
      </x:c>
      <x:c r="R82" s="512">
        <x:v>66</x:v>
      </x:c>
      <x:c r="S82" s="512">
        <x:v>69</x:v>
      </x:c>
      <x:c r="T82" s="512">
        <x:v>40</x:v>
      </x:c>
      <x:c r="U82" s="512">
        <x:v>25</x:v>
      </x:c>
      <x:c r="V82" s="512">
        <x:v>25</x:v>
      </x:c>
      <x:c r="W82" s="512">
        <x:v>52</x:v>
      </x:c>
      <x:c r="X82" s="512">
        <x:v>24</x:v>
      </x:c>
      <x:c r="Y82" s="512">
        <x:v>30</x:v>
      </x:c>
      <x:c r="Z82" s="512">
        <x:v>37</x:v>
      </x:c>
      <x:c r="AA82" s="636">
        <x:v>19</x:v>
      </x:c>
      <x:c r="AB82" s="512">
        <x:v>35</x:v>
      </x:c>
      <x:c r="AC82" s="512">
        <x:v>47</x:v>
      </x:c>
      <x:c r="AD82" s="512">
        <x:v>66</x:v>
      </x:c>
      <x:c r="AE82" s="512">
        <x:v>63</x:v>
      </x:c>
      <x:c r="AF82" s="512">
        <x:v>71</x:v>
      </x:c>
      <x:c r="AG82" s="512">
        <x:v>44</x:v>
      </x:c>
      <x:c r="AH82" s="512">
        <x:v>46</x:v>
      </x:c>
      <x:c r="AI82" s="512">
        <x:v>115</x:v>
      </x:c>
      <x:c r="AJ82" s="512">
        <x:v>131</x:v>
      </x:c>
      <x:c r="AK82" s="512">
        <x:v>66</x:v>
      </x:c>
      <x:c r="AL82" s="512">
        <x:v>140</x:v>
      </x:c>
      <x:c r="AM82" s="512">
        <x:v>134</x:v>
      </x:c>
      <x:c r="AN82" s="512"/>
      <x:c r="AO82" s="512"/>
      <x:c r="AP82" s="512"/>
      <x:c r="AQ82" s="512"/>
      <x:c r="AR82" s="512"/>
      <x:c r="AS82" s="512"/>
      <x:c r="AT82" s="512"/>
      <x:c r="AU82" s="512"/>
      <x:c r="AV82" s="512"/>
      <x:c r="AW82" s="512"/>
      <x:c r="AX82" s="512"/>
      <x:c r="AY82" s="512"/>
      <x:c r="AZ82" s="512"/>
      <x:c r="BA82" s="512"/>
      <x:c r="BB82" s="512"/>
      <x:c r="BC82" s="512"/>
      <x:c r="BD82" s="514"/>
    </x:row>
    <x:row r="83" ht="19" customHeight="1">
      <x:c r="B83" s="509">
        <x:v>19</x:v>
      </x:c>
      <x:c r="C83" s="512">
        <x:v>17</x:v>
      </x:c>
      <x:c r="D83" s="512">
        <x:v>18</x:v>
      </x:c>
      <x:c r="E83" s="512">
        <x:v>19</x:v>
      </x:c>
      <x:c r="F83" s="512">
        <x:v>20</x:v>
      </x:c>
      <x:c r="G83" s="512">
        <x:v>30</x:v>
      </x:c>
      <x:c r="H83" s="512">
        <x:v>26</x:v>
      </x:c>
      <x:c r="I83" s="512">
        <x:v>21</x:v>
      </x:c>
      <x:c r="J83" s="512">
        <x:v>27</x:v>
      </x:c>
      <x:c r="K83" s="512">
        <x:v>26</x:v>
      </x:c>
      <x:c r="L83" s="512">
        <x:v>51</x:v>
      </x:c>
      <x:c r="M83" s="512">
        <x:v>59</x:v>
      </x:c>
      <x:c r="N83" s="512">
        <x:v>47</x:v>
      </x:c>
      <x:c r="O83" s="512">
        <x:v>47</x:v>
      </x:c>
      <x:c r="P83" s="512">
        <x:v>39</x:v>
      </x:c>
      <x:c r="Q83" s="512">
        <x:v>66</x:v>
      </x:c>
      <x:c r="R83" s="512">
        <x:v>64</x:v>
      </x:c>
      <x:c r="S83" s="512">
        <x:v>41</x:v>
      </x:c>
      <x:c r="T83" s="512">
        <x:v>53</x:v>
      </x:c>
      <x:c r="U83" s="512">
        <x:v>51</x:v>
      </x:c>
      <x:c r="V83" s="512">
        <x:v>41</x:v>
      </x:c>
      <x:c r="W83" s="512">
        <x:v>45</x:v>
      </x:c>
      <x:c r="X83" s="512">
        <x:v>13</x:v>
      </x:c>
      <x:c r="Y83" s="512">
        <x:v>34</x:v>
      </x:c>
      <x:c r="Z83" s="512">
        <x:v>26</x:v>
      </x:c>
      <x:c r="AA83" s="636">
        <x:v>17</x:v>
      </x:c>
      <x:c r="AB83" s="512">
        <x:v>15</x:v>
      </x:c>
      <x:c r="AC83" s="512">
        <x:v>29</x:v>
      </x:c>
      <x:c r="AD83" s="512">
        <x:v>30</x:v>
      </x:c>
      <x:c r="AE83" s="512">
        <x:v>57</x:v>
      </x:c>
      <x:c r="AF83" s="512">
        <x:v>46</x:v>
      </x:c>
      <x:c r="AG83" s="512">
        <x:v>18</x:v>
      </x:c>
      <x:c r="AH83" s="512">
        <x:v>16</x:v>
      </x:c>
      <x:c r="AI83" s="512">
        <x:v>70</x:v>
      </x:c>
      <x:c r="AJ83" s="512">
        <x:v>86</x:v>
      </x:c>
      <x:c r="AK83" s="512">
        <x:v>30</x:v>
      </x:c>
      <x:c r="AL83" s="512">
        <x:v>79</x:v>
      </x:c>
      <x:c r="AM83" s="512">
        <x:v>49</x:v>
      </x:c>
      <x:c r="AN83" s="512"/>
      <x:c r="AO83" s="512"/>
      <x:c r="AP83" s="512"/>
      <x:c r="AQ83" s="512"/>
      <x:c r="AR83" s="512"/>
      <x:c r="AS83" s="512"/>
      <x:c r="AT83" s="512"/>
      <x:c r="AU83" s="512"/>
      <x:c r="AV83" s="512"/>
      <x:c r="AW83" s="512"/>
      <x:c r="AX83" s="512"/>
      <x:c r="AY83" s="512"/>
      <x:c r="AZ83" s="512"/>
      <x:c r="BA83" s="512"/>
      <x:c r="BB83" s="512"/>
      <x:c r="BC83" s="512"/>
      <x:c r="BD83" s="514"/>
    </x:row>
    <x:row r="84" ht="19" customHeight="1">
      <x:c r="B84" s="509">
        <x:v>20</x:v>
      </x:c>
      <x:c r="C84" s="512">
        <x:v>13</x:v>
      </x:c>
      <x:c r="D84" s="512">
        <x:v>13</x:v>
      </x:c>
      <x:c r="E84" s="512">
        <x:v>23</x:v>
      </x:c>
      <x:c r="F84" s="512">
        <x:v>28</x:v>
      </x:c>
      <x:c r="G84" s="512">
        <x:v>36</x:v>
      </x:c>
      <x:c r="H84" s="512">
        <x:v>44</x:v>
      </x:c>
      <x:c r="I84" s="512">
        <x:v>27</x:v>
      </x:c>
      <x:c r="J84" s="512">
        <x:v>32</x:v>
      </x:c>
      <x:c r="K84" s="512">
        <x:v>47</x:v>
      </x:c>
      <x:c r="L84" s="512">
        <x:v>42</x:v>
      </x:c>
      <x:c r="M84" s="512">
        <x:v>51</x:v>
      </x:c>
      <x:c r="N84" s="512">
        <x:v>66</x:v>
      </x:c>
      <x:c r="O84" s="512">
        <x:v>30</x:v>
      </x:c>
      <x:c r="P84" s="512">
        <x:v>35</x:v>
      </x:c>
      <x:c r="Q84" s="512">
        <x:v>39</x:v>
      </x:c>
      <x:c r="R84" s="512">
        <x:v>35</x:v>
      </x:c>
      <x:c r="S84" s="512">
        <x:v>41</x:v>
      </x:c>
      <x:c r="T84" s="512">
        <x:v>27</x:v>
      </x:c>
      <x:c r="U84" s="512">
        <x:v>26</x:v>
      </x:c>
      <x:c r="V84" s="512">
        <x:v>23</x:v>
      </x:c>
      <x:c r="W84" s="512">
        <x:v>25</x:v>
      </x:c>
      <x:c r="X84" s="512">
        <x:v>15</x:v>
      </x:c>
      <x:c r="Y84" s="512">
        <x:v>15</x:v>
      </x:c>
      <x:c r="Z84" s="512">
        <x:v>10</x:v>
      </x:c>
      <x:c r="AA84" s="636">
        <x:v>5</x:v>
      </x:c>
      <x:c r="AB84" s="512">
        <x:v>4</x:v>
      </x:c>
      <x:c r="AC84" s="512">
        <x:v>17</x:v>
      </x:c>
      <x:c r="AD84" s="512">
        <x:v>27</x:v>
      </x:c>
      <x:c r="AE84" s="512">
        <x:v>23</x:v>
      </x:c>
      <x:c r="AF84" s="512">
        <x:v>14</x:v>
      </x:c>
      <x:c r="AG84" s="512">
        <x:v>11</x:v>
      </x:c>
      <x:c r="AH84" s="512">
        <x:v>77</x:v>
      </x:c>
      <x:c r="AI84" s="512">
        <x:v>149</x:v>
      </x:c>
      <x:c r="AJ84" s="512">
        <x:v>180</x:v>
      </x:c>
      <x:c r="AK84" s="512">
        <x:v>52</x:v>
      </x:c>
      <x:c r="AL84" s="512">
        <x:v>129</x:v>
      </x:c>
      <x:c r="AM84" s="512">
        <x:v>103</x:v>
      </x:c>
      <x:c r="AN84" s="512"/>
      <x:c r="AO84" s="512"/>
      <x:c r="AP84" s="512"/>
      <x:c r="AQ84" s="512"/>
      <x:c r="AR84" s="512"/>
      <x:c r="AS84" s="512"/>
      <x:c r="AT84" s="512"/>
      <x:c r="AU84" s="512"/>
      <x:c r="AV84" s="512"/>
      <x:c r="AW84" s="512"/>
      <x:c r="AX84" s="512"/>
      <x:c r="AY84" s="512"/>
      <x:c r="AZ84" s="512"/>
      <x:c r="BA84" s="512"/>
      <x:c r="BB84" s="512"/>
      <x:c r="BC84" s="512"/>
      <x:c r="BD84" s="514"/>
    </x:row>
    <x:row r="85" ht="19" customHeight="1">
      <x:c r="B85" s="509">
        <x:v>21</x:v>
      </x:c>
      <x:c r="C85" s="512">
        <x:v>22</x:v>
      </x:c>
      <x:c r="D85" s="512">
        <x:v>20</x:v>
      </x:c>
      <x:c r="E85" s="512">
        <x:v>22</x:v>
      </x:c>
      <x:c r="F85" s="512">
        <x:v>19</x:v>
      </x:c>
      <x:c r="G85" s="512">
        <x:v>31</x:v>
      </x:c>
      <x:c r="H85" s="512">
        <x:v>35</x:v>
      </x:c>
      <x:c r="I85" s="512">
        <x:v>8</x:v>
      </x:c>
      <x:c r="J85" s="512">
        <x:v>25</x:v>
      </x:c>
      <x:c r="K85" s="512">
        <x:v>25</x:v>
      </x:c>
      <x:c r="L85" s="512">
        <x:v>43</x:v>
      </x:c>
      <x:c r="M85" s="512">
        <x:v>37</x:v>
      </x:c>
      <x:c r="N85" s="512">
        <x:v>46</x:v>
      </x:c>
      <x:c r="O85" s="512">
        <x:v>29</x:v>
      </x:c>
      <x:c r="P85" s="512">
        <x:v>69</x:v>
      </x:c>
      <x:c r="Q85" s="512">
        <x:v>50</x:v>
      </x:c>
      <x:c r="R85" s="512">
        <x:v>39</x:v>
      </x:c>
      <x:c r="S85" s="512">
        <x:v>32</x:v>
      </x:c>
      <x:c r="T85" s="512">
        <x:v>38</x:v>
      </x:c>
      <x:c r="U85" s="512">
        <x:v>21</x:v>
      </x:c>
      <x:c r="V85" s="512">
        <x:v>14</x:v>
      </x:c>
      <x:c r="W85" s="512">
        <x:v>8</x:v>
      </x:c>
      <x:c r="X85" s="512">
        <x:v>6</x:v>
      </x:c>
      <x:c r="Y85" s="512">
        <x:v>5</x:v>
      </x:c>
      <x:c r="Z85" s="512">
        <x:v>4</x:v>
      </x:c>
      <x:c r="AA85" s="636">
        <x:v>5</x:v>
      </x:c>
      <x:c r="AB85" s="512">
        <x:v>2</x:v>
      </x:c>
      <x:c r="AC85" s="512">
        <x:v>0</x:v>
      </x:c>
      <x:c r="AD85" s="512">
        <x:v>1</x:v>
      </x:c>
      <x:c r="AE85" s="512">
        <x:v>1</x:v>
      </x:c>
      <x:c r="AF85" s="512">
        <x:v>2</x:v>
      </x:c>
      <x:c r="AG85" s="512">
        <x:v>0</x:v>
      </x:c>
      <x:c r="AH85" s="512">
        <x:v>5</x:v>
      </x:c>
      <x:c r="AI85" s="512">
        <x:v>2</x:v>
      </x:c>
      <x:c r="AJ85" s="512">
        <x:v>5</x:v>
      </x:c>
      <x:c r="AK85" s="512">
        <x:v>18</x:v>
      </x:c>
      <x:c r="AL85" s="512">
        <x:v>33</x:v>
      </x:c>
      <x:c r="AM85" s="512">
        <x:v>16</x:v>
      </x:c>
      <x:c r="AN85" s="512"/>
      <x:c r="AO85" s="512"/>
      <x:c r="AP85" s="512"/>
      <x:c r="AQ85" s="512"/>
      <x:c r="AR85" s="512"/>
      <x:c r="AS85" s="512"/>
      <x:c r="AT85" s="512"/>
      <x:c r="AU85" s="512"/>
      <x:c r="AV85" s="512"/>
      <x:c r="AW85" s="512"/>
      <x:c r="AX85" s="512"/>
      <x:c r="AY85" s="512"/>
      <x:c r="AZ85" s="512"/>
      <x:c r="BA85" s="512"/>
      <x:c r="BB85" s="512"/>
      <x:c r="BC85" s="512"/>
      <x:c r="BD85" s="514"/>
    </x:row>
    <x:row r="86" ht="19" customHeight="1">
      <x:c r="B86" s="509">
        <x:v>22</x:v>
      </x:c>
      <x:c r="C86" s="512">
        <x:v>14</x:v>
      </x:c>
      <x:c r="D86" s="512">
        <x:v>14</x:v>
      </x:c>
      <x:c r="E86" s="512">
        <x:v>45</x:v>
      </x:c>
      <x:c r="F86" s="512">
        <x:v>41</x:v>
      </x:c>
      <x:c r="G86" s="512">
        <x:v>28</x:v>
      </x:c>
      <x:c r="H86" s="512">
        <x:v>19</x:v>
      </x:c>
      <x:c r="I86" s="512">
        <x:v>19</x:v>
      </x:c>
      <x:c r="J86" s="512">
        <x:v>26</x:v>
      </x:c>
      <x:c r="K86" s="512">
        <x:v>38</x:v>
      </x:c>
      <x:c r="L86" s="512">
        <x:v>62</x:v>
      </x:c>
      <x:c r="M86" s="512">
        <x:v>74</x:v>
      </x:c>
      <x:c r="N86" s="512">
        <x:v>64</x:v>
      </x:c>
      <x:c r="O86" s="512">
        <x:v>55</x:v>
      </x:c>
      <x:c r="P86" s="512">
        <x:v>116</x:v>
      </x:c>
      <x:c r="Q86" s="512">
        <x:v>131</x:v>
      </x:c>
      <x:c r="R86" s="512">
        <x:v>103</x:v>
      </x:c>
      <x:c r="S86" s="512">
        <x:v>129</x:v>
      </x:c>
      <x:c r="T86" s="512">
        <x:v>91</x:v>
      </x:c>
      <x:c r="U86" s="512">
        <x:v>60</x:v>
      </x:c>
      <x:c r="V86" s="512">
        <x:v>63</x:v>
      </x:c>
      <x:c r="W86" s="512">
        <x:v>45</x:v>
      </x:c>
      <x:c r="X86" s="512">
        <x:v>16</x:v>
      </x:c>
      <x:c r="Y86" s="512">
        <x:v>28</x:v>
      </x:c>
      <x:c r="Z86" s="512">
        <x:v>31</x:v>
      </x:c>
      <x:c r="AA86" s="636">
        <x:v>12</x:v>
      </x:c>
      <x:c r="AB86" s="512">
        <x:v>31</x:v>
      </x:c>
      <x:c r="AC86" s="512">
        <x:v>52</x:v>
      </x:c>
      <x:c r="AD86" s="512">
        <x:v>57</x:v>
      </x:c>
      <x:c r="AE86" s="512">
        <x:v>54</x:v>
      </x:c>
      <x:c r="AF86" s="512">
        <x:v>123</x:v>
      </x:c>
      <x:c r="AG86" s="512">
        <x:v>45</x:v>
      </x:c>
      <x:c r="AH86" s="512">
        <x:v>137</x:v>
      </x:c>
      <x:c r="AI86" s="512">
        <x:v>109</x:v>
      </x:c>
      <x:c r="AJ86" s="512">
        <x:v>95</x:v>
      </x:c>
      <x:c r="AK86" s="512">
        <x:v>38</x:v>
      </x:c>
      <x:c r="AL86" s="512">
        <x:v>75</x:v>
      </x:c>
      <x:c r="AM86" s="512">
        <x:v>47</x:v>
      </x:c>
      <x:c r="AN86" s="512"/>
      <x:c r="AO86" s="512"/>
      <x:c r="AP86" s="512"/>
      <x:c r="AQ86" s="512"/>
      <x:c r="AR86" s="512"/>
      <x:c r="AS86" s="512"/>
      <x:c r="AT86" s="512"/>
      <x:c r="AU86" s="512"/>
      <x:c r="AV86" s="512"/>
      <x:c r="AW86" s="512"/>
      <x:c r="AX86" s="512"/>
      <x:c r="AY86" s="512"/>
      <x:c r="AZ86" s="512"/>
      <x:c r="BA86" s="512"/>
      <x:c r="BB86" s="512"/>
      <x:c r="BC86" s="512"/>
      <x:c r="BD86" s="514"/>
    </x:row>
    <x:row r="87" ht="19" customHeight="1">
      <x:c r="B87" s="509">
        <x:v>23</x:v>
      </x:c>
      <x:c r="C87" s="512">
        <x:v>15</x:v>
      </x:c>
      <x:c r="D87" s="512">
        <x:v>15</x:v>
      </x:c>
      <x:c r="E87" s="512">
        <x:v>20</x:v>
      </x:c>
      <x:c r="F87" s="512">
        <x:v>38</x:v>
      </x:c>
      <x:c r="G87" s="512">
        <x:v>38</x:v>
      </x:c>
      <x:c r="H87" s="512">
        <x:v>21</x:v>
      </x:c>
      <x:c r="I87" s="512">
        <x:v>19</x:v>
      </x:c>
      <x:c r="J87" s="512">
        <x:v>20</x:v>
      </x:c>
      <x:c r="K87" s="512">
        <x:v>20</x:v>
      </x:c>
      <x:c r="L87" s="512">
        <x:v>53</x:v>
      </x:c>
      <x:c r="M87" s="512">
        <x:v>47</x:v>
      </x:c>
      <x:c r="N87" s="512">
        <x:v>33</x:v>
      </x:c>
      <x:c r="O87" s="512">
        <x:v>27</x:v>
      </x:c>
      <x:c r="P87" s="512">
        <x:v>82</x:v>
      </x:c>
      <x:c r="Q87" s="512">
        <x:v>69</x:v>
      </x:c>
      <x:c r="R87" s="512">
        <x:v>52</x:v>
      </x:c>
      <x:c r="S87" s="512">
        <x:v>73</x:v>
      </x:c>
      <x:c r="T87" s="512">
        <x:v>45</x:v>
      </x:c>
      <x:c r="U87" s="512">
        <x:v>13</x:v>
      </x:c>
      <x:c r="V87" s="512">
        <x:v>29</x:v>
      </x:c>
      <x:c r="W87" s="512">
        <x:v>29</x:v>
      </x:c>
      <x:c r="X87" s="512">
        <x:v>27</x:v>
      </x:c>
      <x:c r="Y87" s="512">
        <x:v>43</x:v>
      </x:c>
      <x:c r="Z87" s="512">
        <x:v>17</x:v>
      </x:c>
      <x:c r="AA87" s="636">
        <x:v>8</x:v>
      </x:c>
      <x:c r="AB87" s="512">
        <x:v>17</x:v>
      </x:c>
      <x:c r="AC87" s="512">
        <x:v>12</x:v>
      </x:c>
      <x:c r="AD87" s="512">
        <x:v>26</x:v>
      </x:c>
      <x:c r="AE87" s="512">
        <x:v>44</x:v>
      </x:c>
      <x:c r="AF87" s="512">
        <x:v>24</x:v>
      </x:c>
      <x:c r="AG87" s="512">
        <x:v>11</x:v>
      </x:c>
      <x:c r="AH87" s="512">
        <x:v>43</x:v>
      </x:c>
      <x:c r="AI87" s="512">
        <x:v>106</x:v>
      </x:c>
      <x:c r="AJ87" s="512">
        <x:v>93</x:v>
      </x:c>
      <x:c r="AK87" s="512">
        <x:v>32</x:v>
      </x:c>
      <x:c r="AL87" s="512">
        <x:v>97</x:v>
      </x:c>
      <x:c r="AM87" s="512">
        <x:v>39</x:v>
      </x:c>
      <x:c r="AN87" s="512"/>
      <x:c r="AO87" s="512"/>
      <x:c r="AP87" s="512"/>
      <x:c r="AQ87" s="512"/>
      <x:c r="AR87" s="512"/>
      <x:c r="AS87" s="512"/>
      <x:c r="AT87" s="512"/>
      <x:c r="AU87" s="512"/>
      <x:c r="AV87" s="512"/>
      <x:c r="AW87" s="512"/>
      <x:c r="AX87" s="512"/>
      <x:c r="AY87" s="512"/>
      <x:c r="AZ87" s="512"/>
      <x:c r="BA87" s="512"/>
      <x:c r="BB87" s="512"/>
      <x:c r="BC87" s="512"/>
      <x:c r="BD87" s="514"/>
    </x:row>
    <x:row r="88" ht="19" customHeight="1">
      <x:c r="B88" s="509">
        <x:v>24</x:v>
      </x:c>
      <x:c r="C88" s="512">
        <x:v>11</x:v>
      </x:c>
      <x:c r="D88" s="512">
        <x:v>13</x:v>
      </x:c>
      <x:c r="E88" s="512">
        <x:v>23</x:v>
      </x:c>
      <x:c r="F88" s="512">
        <x:v>19</x:v>
      </x:c>
      <x:c r="G88" s="512">
        <x:v>49</x:v>
      </x:c>
      <x:c r="H88" s="512">
        <x:v>35</x:v>
      </x:c>
      <x:c r="I88" s="512">
        <x:v>32</x:v>
      </x:c>
      <x:c r="J88" s="512">
        <x:v>38</x:v>
      </x:c>
      <x:c r="K88" s="512">
        <x:v>30</x:v>
      </x:c>
      <x:c r="L88" s="512">
        <x:v>58</x:v>
      </x:c>
      <x:c r="M88" s="512">
        <x:v>43</x:v>
      </x:c>
      <x:c r="N88" s="512">
        <x:v>59</x:v>
      </x:c>
      <x:c r="O88" s="512">
        <x:v>47</x:v>
      </x:c>
      <x:c r="P88" s="512">
        <x:v>65</x:v>
      </x:c>
      <x:c r="Q88" s="512">
        <x:v>93</x:v>
      </x:c>
      <x:c r="R88" s="512">
        <x:v>81</x:v>
      </x:c>
      <x:c r="S88" s="512">
        <x:v>97</x:v>
      </x:c>
      <x:c r="T88" s="512">
        <x:v>84</x:v>
      </x:c>
      <x:c r="U88" s="512">
        <x:v>55</x:v>
      </x:c>
      <x:c r="V88" s="512">
        <x:v>47</x:v>
      </x:c>
      <x:c r="W88" s="512">
        <x:v>63</x:v>
      </x:c>
      <x:c r="X88" s="512">
        <x:v>35</x:v>
      </x:c>
      <x:c r="Y88" s="512">
        <x:v>55</x:v>
      </x:c>
      <x:c r="Z88" s="512">
        <x:v>28</x:v>
      </x:c>
      <x:c r="AA88" s="636">
        <x:v>23</x:v>
      </x:c>
      <x:c r="AB88" s="512">
        <x:v>0</x:v>
      </x:c>
      <x:c r="AC88" s="512">
        <x:v>0</x:v>
      </x:c>
      <x:c r="AD88" s="512">
        <x:v>0</x:v>
      </x:c>
      <x:c r="AE88" s="512">
        <x:v>0</x:v>
      </x:c>
      <x:c r="AF88" s="512">
        <x:v>0</x:v>
      </x:c>
      <x:c r="AG88" s="512">
        <x:v>0</x:v>
      </x:c>
      <x:c r="AH88" s="512">
        <x:v>0</x:v>
      </x:c>
      <x:c r="AI88" s="512">
        <x:v>0</x:v>
      </x:c>
      <x:c r="AJ88" s="512">
        <x:v>0</x:v>
      </x:c>
      <x:c r="AK88" s="637"/>
      <x:c r="AL88" s="637">
        <x:v>0</x:v>
      </x:c>
      <x:c r="AM88" s="512">
        <x:v>11</x:v>
      </x:c>
      <x:c r="AN88" s="512"/>
      <x:c r="AO88" s="512"/>
      <x:c r="AP88" s="512"/>
      <x:c r="AQ88" s="512"/>
      <x:c r="AR88" s="512"/>
      <x:c r="AS88" s="512"/>
      <x:c r="AT88" s="512"/>
      <x:c r="AU88" s="512"/>
      <x:c r="AV88" s="512"/>
      <x:c r="AW88" s="512"/>
      <x:c r="AX88" s="512"/>
      <x:c r="AY88" s="512"/>
      <x:c r="AZ88" s="512"/>
      <x:c r="BA88" s="512"/>
      <x:c r="BB88" s="512"/>
      <x:c r="BC88" s="512"/>
      <x:c r="BD88" s="514"/>
    </x:row>
    <x:row r="89" ht="19" customHeight="1">
      <x:c r="B89" s="509">
        <x:v>25</x:v>
      </x:c>
      <x:c r="C89" s="512">
        <x:v>4</x:v>
      </x:c>
      <x:c r="D89" s="512">
        <x:v>7</x:v>
      </x:c>
      <x:c r="E89" s="512">
        <x:v>31</x:v>
      </x:c>
      <x:c r="F89" s="512">
        <x:v>35</x:v>
      </x:c>
      <x:c r="G89" s="512">
        <x:v>36</x:v>
      </x:c>
      <x:c r="H89" s="512">
        <x:v>26</x:v>
      </x:c>
      <x:c r="I89" s="512">
        <x:v>18</x:v>
      </x:c>
      <x:c r="J89" s="512">
        <x:v>21</x:v>
      </x:c>
      <x:c r="K89" s="512">
        <x:v>18</x:v>
      </x:c>
      <x:c r="L89" s="512">
        <x:v>42</x:v>
      </x:c>
      <x:c r="M89" s="512">
        <x:v>17</x:v>
      </x:c>
      <x:c r="N89" s="512">
        <x:v>14</x:v>
      </x:c>
      <x:c r="O89" s="512">
        <x:v>9</x:v>
      </x:c>
      <x:c r="P89" s="512">
        <x:v>9</x:v>
      </x:c>
      <x:c r="Q89" s="512">
        <x:v>6</x:v>
      </x:c>
      <x:c r="R89" s="512">
        <x:v>1</x:v>
      </x:c>
      <x:c r="S89" s="512">
        <x:v>1</x:v>
      </x:c>
      <x:c r="T89" s="512">
        <x:v>8</x:v>
      </x:c>
      <x:c r="U89" s="512">
        <x:v>4</x:v>
      </x:c>
      <x:c r="V89" s="512">
        <x:v>3</x:v>
      </x:c>
      <x:c r="W89" s="512">
        <x:v>0</x:v>
      </x:c>
      <x:c r="X89" s="512">
        <x:v>1</x:v>
      </x:c>
      <x:c r="Y89" s="512">
        <x:v>3</x:v>
      </x:c>
      <x:c r="Z89" s="512">
        <x:v>4</x:v>
      </x:c>
      <x:c r="AA89" s="636">
        <x:v>4</x:v>
      </x:c>
      <x:c r="AB89" s="512">
        <x:v>8</x:v>
      </x:c>
      <x:c r="AC89" s="512">
        <x:v>5</x:v>
      </x:c>
      <x:c r="AD89" s="512">
        <x:v>1</x:v>
      </x:c>
      <x:c r="AE89" s="512">
        <x:v>1</x:v>
      </x:c>
      <x:c r="AF89" s="512">
        <x:v>2</x:v>
      </x:c>
      <x:c r="AG89" s="512">
        <x:v>2</x:v>
      </x:c>
      <x:c r="AH89" s="512">
        <x:v>14</x:v>
      </x:c>
      <x:c r="AI89" s="512">
        <x:v>4</x:v>
      </x:c>
      <x:c r="AJ89" s="512">
        <x:v>13</x:v>
      </x:c>
      <x:c r="AK89" s="512">
        <x:v>13</x:v>
      </x:c>
      <x:c r="AL89" s="512">
        <x:v>9</x:v>
      </x:c>
      <x:c r="AM89" s="512">
        <x:v>11</x:v>
      </x:c>
      <x:c r="AN89" s="512"/>
      <x:c r="AO89" s="512"/>
      <x:c r="AP89" s="512"/>
      <x:c r="AQ89" s="512"/>
      <x:c r="AR89" s="512"/>
      <x:c r="AS89" s="512"/>
      <x:c r="AT89" s="512"/>
      <x:c r="AU89" s="512"/>
      <x:c r="AV89" s="512"/>
      <x:c r="AW89" s="512"/>
      <x:c r="AX89" s="512"/>
      <x:c r="AY89" s="512"/>
      <x:c r="AZ89" s="512"/>
      <x:c r="BA89" s="512"/>
      <x:c r="BB89" s="512"/>
      <x:c r="BC89" s="512"/>
      <x:c r="BD89" s="514"/>
    </x:row>
    <x:row r="90" ht="19" customHeight="1">
      <x:c r="B90" s="509">
        <x:v>26</x:v>
      </x:c>
      <x:c r="C90" s="512">
        <x:v>13</x:v>
      </x:c>
      <x:c r="D90" s="512">
        <x:v>9</x:v>
      </x:c>
      <x:c r="E90" s="512">
        <x:v>8</x:v>
      </x:c>
      <x:c r="F90" s="512">
        <x:v>8</x:v>
      </x:c>
      <x:c r="G90" s="512">
        <x:v>13</x:v>
      </x:c>
      <x:c r="H90" s="512">
        <x:v>4</x:v>
      </x:c>
      <x:c r="I90" s="512">
        <x:v>6</x:v>
      </x:c>
      <x:c r="J90" s="512">
        <x:v>6</x:v>
      </x:c>
      <x:c r="K90" s="512">
        <x:v>9</x:v>
      </x:c>
      <x:c r="L90" s="512">
        <x:v>15</x:v>
      </x:c>
      <x:c r="M90" s="512">
        <x:v>22</x:v>
      </x:c>
      <x:c r="N90" s="512">
        <x:v>14</x:v>
      </x:c>
      <x:c r="O90" s="512">
        <x:v>4</x:v>
      </x:c>
      <x:c r="P90" s="512">
        <x:v>21</x:v>
      </x:c>
      <x:c r="Q90" s="512">
        <x:v>22</x:v>
      </x:c>
      <x:c r="R90" s="512">
        <x:v>13</x:v>
      </x:c>
      <x:c r="S90" s="512">
        <x:v>11</x:v>
      </x:c>
      <x:c r="T90" s="512">
        <x:v>7</x:v>
      </x:c>
      <x:c r="U90" s="512">
        <x:v>8</x:v>
      </x:c>
      <x:c r="V90" s="512">
        <x:v>6</x:v>
      </x:c>
      <x:c r="W90" s="512">
        <x:v>7</x:v>
      </x:c>
      <x:c r="X90" s="512">
        <x:v>2</x:v>
      </x:c>
      <x:c r="Y90" s="512">
        <x:v>1</x:v>
      </x:c>
      <x:c r="Z90" s="512">
        <x:v>1</x:v>
      </x:c>
      <x:c r="AA90" s="636">
        <x:v>2</x:v>
      </x:c>
      <x:c r="AB90" s="512">
        <x:v>6</x:v>
      </x:c>
      <x:c r="AC90" s="512">
        <x:v>2</x:v>
      </x:c>
      <x:c r="AD90" s="512">
        <x:v>15</x:v>
      </x:c>
      <x:c r="AE90" s="512">
        <x:v>6</x:v>
      </x:c>
      <x:c r="AF90" s="512">
        <x:v>10</x:v>
      </x:c>
      <x:c r="AG90" s="512">
        <x:v>6</x:v>
      </x:c>
      <x:c r="AH90" s="512">
        <x:v>5</x:v>
      </x:c>
      <x:c r="AI90" s="512">
        <x:v>39</x:v>
      </x:c>
      <x:c r="AJ90" s="512">
        <x:v>17</x:v>
      </x:c>
      <x:c r="AK90" s="512">
        <x:v>7</x:v>
      </x:c>
      <x:c r="AL90" s="512">
        <x:v>22</x:v>
      </x:c>
      <x:c r="AM90" s="512">
        <x:v>19</x:v>
      </x:c>
      <x:c r="AN90" s="512"/>
      <x:c r="AO90" s="512"/>
      <x:c r="AP90" s="512"/>
      <x:c r="AQ90" s="512"/>
      <x:c r="AR90" s="512"/>
      <x:c r="AS90" s="512"/>
      <x:c r="AT90" s="512"/>
      <x:c r="AU90" s="512"/>
      <x:c r="AV90" s="512"/>
      <x:c r="AW90" s="512"/>
      <x:c r="AX90" s="512"/>
      <x:c r="AY90" s="512"/>
      <x:c r="AZ90" s="512"/>
      <x:c r="BA90" s="512"/>
      <x:c r="BB90" s="512"/>
      <x:c r="BC90" s="512"/>
      <x:c r="BD90" s="514"/>
    </x:row>
    <x:row r="91" ht="19" customHeight="1">
      <x:c r="B91" s="509">
        <x:v>27</x:v>
      </x:c>
      <x:c r="C91" s="512">
        <x:v>16</x:v>
      </x:c>
      <x:c r="D91" s="512">
        <x:v>22</x:v>
      </x:c>
      <x:c r="E91" s="512">
        <x:v>30</x:v>
      </x:c>
      <x:c r="F91" s="512">
        <x:v>45</x:v>
      </x:c>
      <x:c r="G91" s="512">
        <x:v>53</x:v>
      </x:c>
      <x:c r="H91" s="512">
        <x:v>27</x:v>
      </x:c>
      <x:c r="I91" s="512">
        <x:v>25</x:v>
      </x:c>
      <x:c r="J91" s="512">
        <x:v>26</x:v>
      </x:c>
      <x:c r="K91" s="512">
        <x:v>40</x:v>
      </x:c>
      <x:c r="L91" s="512">
        <x:v>44</x:v>
      </x:c>
      <x:c r="M91" s="512">
        <x:v>23</x:v>
      </x:c>
      <x:c r="N91" s="512">
        <x:v>30</x:v>
      </x:c>
      <x:c r="O91" s="512">
        <x:v>31</x:v>
      </x:c>
      <x:c r="P91" s="512">
        <x:v>43</x:v>
      </x:c>
      <x:c r="Q91" s="512">
        <x:v>73</x:v>
      </x:c>
      <x:c r="R91" s="512">
        <x:v>42</x:v>
      </x:c>
      <x:c r="S91" s="512">
        <x:v>39</x:v>
      </x:c>
      <x:c r="T91" s="512">
        <x:v>42</x:v>
      </x:c>
      <x:c r="U91" s="512">
        <x:v>38</x:v>
      </x:c>
      <x:c r="V91" s="512">
        <x:v>42</x:v>
      </x:c>
      <x:c r="W91" s="512">
        <x:v>33</x:v>
      </x:c>
      <x:c r="X91" s="512">
        <x:v>41</x:v>
      </x:c>
      <x:c r="Y91" s="512">
        <x:v>40</x:v>
      </x:c>
      <x:c r="Z91" s="512">
        <x:v>41</x:v>
      </x:c>
      <x:c r="AA91" s="636">
        <x:v>56</x:v>
      </x:c>
      <x:c r="AB91" s="512">
        <x:v>53</x:v>
      </x:c>
      <x:c r="AC91" s="512">
        <x:v>90</x:v>
      </x:c>
      <x:c r="AD91" s="512">
        <x:v>138</x:v>
      </x:c>
      <x:c r="AE91" s="512">
        <x:v>166</x:v>
      </x:c>
      <x:c r="AF91" s="512">
        <x:v>152</x:v>
      </x:c>
      <x:c r="AG91" s="512">
        <x:v>53</x:v>
      </x:c>
      <x:c r="AH91" s="512">
        <x:v>115</x:v>
      </x:c>
      <x:c r="AI91" s="512">
        <x:v>188</x:v>
      </x:c>
      <x:c r="AJ91" s="512">
        <x:v>163</x:v>
      </x:c>
      <x:c r="AK91" s="637"/>
      <x:c r="AL91" s="637">
        <x:v>0</x:v>
      </x:c>
      <x:c r="AM91" s="512">
        <x:v>23</x:v>
      </x:c>
      <x:c r="AN91" s="512"/>
      <x:c r="AO91" s="512"/>
      <x:c r="AP91" s="512"/>
      <x:c r="AQ91" s="512"/>
      <x:c r="AR91" s="512"/>
      <x:c r="AS91" s="512"/>
      <x:c r="AT91" s="512"/>
      <x:c r="AU91" s="512"/>
      <x:c r="AV91" s="512"/>
      <x:c r="AW91" s="512"/>
      <x:c r="AX91" s="512"/>
      <x:c r="AY91" s="512"/>
      <x:c r="AZ91" s="512"/>
      <x:c r="BA91" s="512"/>
      <x:c r="BB91" s="512"/>
      <x:c r="BC91" s="512"/>
      <x:c r="BD91" s="514"/>
    </x:row>
    <x:row r="92" ht="19" customHeight="1">
      <x:c r="B92" s="509">
        <x:v>28</x:v>
      </x:c>
      <x:c r="C92" s="512">
        <x:v>22</x:v>
      </x:c>
      <x:c r="D92" s="512">
        <x:v>16</x:v>
      </x:c>
      <x:c r="E92" s="512">
        <x:v>29</x:v>
      </x:c>
      <x:c r="F92" s="512">
        <x:v>37</x:v>
      </x:c>
      <x:c r="G92" s="512">
        <x:v>45</x:v>
      </x:c>
      <x:c r="H92" s="512">
        <x:v>36</x:v>
      </x:c>
      <x:c r="I92" s="512">
        <x:v>20</x:v>
      </x:c>
      <x:c r="J92" s="512">
        <x:v>36</x:v>
      </x:c>
      <x:c r="K92" s="512">
        <x:v>43</x:v>
      </x:c>
      <x:c r="L92" s="512">
        <x:v>47</x:v>
      </x:c>
      <x:c r="M92" s="512">
        <x:v>20</x:v>
      </x:c>
      <x:c r="N92" s="512">
        <x:v>22</x:v>
      </x:c>
      <x:c r="O92" s="512">
        <x:v>24</x:v>
      </x:c>
      <x:c r="P92" s="512">
        <x:v>19</x:v>
      </x:c>
      <x:c r="Q92" s="512">
        <x:v>25</x:v>
      </x:c>
      <x:c r="R92" s="512">
        <x:v>36</x:v>
      </x:c>
      <x:c r="S92" s="512">
        <x:v>81</x:v>
      </x:c>
      <x:c r="T92" s="512">
        <x:v>40</x:v>
      </x:c>
      <x:c r="U92" s="512">
        <x:v>29</x:v>
      </x:c>
      <x:c r="V92" s="512">
        <x:v>28</x:v>
      </x:c>
      <x:c r="W92" s="512">
        <x:v>23</x:v>
      </x:c>
      <x:c r="X92" s="512">
        <x:v>30</x:v>
      </x:c>
      <x:c r="Y92" s="512">
        <x:v>37</x:v>
      </x:c>
      <x:c r="Z92" s="512">
        <x:v>24</x:v>
      </x:c>
      <x:c r="AA92" s="636">
        <x:v>18</x:v>
      </x:c>
      <x:c r="AB92" s="512">
        <x:v>16</x:v>
      </x:c>
      <x:c r="AC92" s="512">
        <x:v>20</x:v>
      </x:c>
      <x:c r="AD92" s="512">
        <x:v>42</x:v>
      </x:c>
      <x:c r="AE92" s="512">
        <x:v>53</x:v>
      </x:c>
      <x:c r="AF92" s="512">
        <x:v>56</x:v>
      </x:c>
      <x:c r="AG92" s="512">
        <x:v>13</x:v>
      </x:c>
      <x:c r="AH92" s="512">
        <x:v>13</x:v>
      </x:c>
      <x:c r="AI92" s="512">
        <x:v>57</x:v>
      </x:c>
      <x:c r="AJ92" s="512">
        <x:v>34</x:v>
      </x:c>
      <x:c r="AK92" s="512">
        <x:v>23</x:v>
      </x:c>
      <x:c r="AL92" s="512">
        <x:v>18</x:v>
      </x:c>
      <x:c r="AM92" s="512">
        <x:v>31</x:v>
      </x:c>
      <x:c r="AN92" s="512"/>
      <x:c r="AO92" s="512"/>
      <x:c r="AP92" s="512"/>
      <x:c r="AQ92" s="512"/>
      <x:c r="AR92" s="512"/>
      <x:c r="AS92" s="512"/>
      <x:c r="AT92" s="512"/>
      <x:c r="AU92" s="512"/>
      <x:c r="AV92" s="512"/>
      <x:c r="AW92" s="512"/>
      <x:c r="AX92" s="512"/>
      <x:c r="AY92" s="512"/>
      <x:c r="AZ92" s="512"/>
      <x:c r="BA92" s="512"/>
      <x:c r="BB92" s="512"/>
      <x:c r="BC92" s="512"/>
      <x:c r="BD92" s="514"/>
    </x:row>
    <x:row r="93" ht="19" customHeight="1">
      <x:c r="B93" s="509">
        <x:v>29</x:v>
      </x:c>
      <x:c r="C93" s="512">
        <x:v>28</x:v>
      </x:c>
      <x:c r="D93" s="512">
        <x:v>16</x:v>
      </x:c>
      <x:c r="E93" s="512">
        <x:v>28</x:v>
      </x:c>
      <x:c r="F93" s="512">
        <x:v>39</x:v>
      </x:c>
      <x:c r="G93" s="512">
        <x:v>38</x:v>
      </x:c>
      <x:c r="H93" s="512">
        <x:v>33</x:v>
      </x:c>
      <x:c r="I93" s="512">
        <x:v>16</x:v>
      </x:c>
      <x:c r="J93" s="512">
        <x:v>20</x:v>
      </x:c>
      <x:c r="K93" s="512">
        <x:v>17</x:v>
      </x:c>
      <x:c r="L93" s="512">
        <x:v>28</x:v>
      </x:c>
      <x:c r="M93" s="512">
        <x:v>30</x:v>
      </x:c>
      <x:c r="N93" s="512">
        <x:v>14</x:v>
      </x:c>
      <x:c r="O93" s="512">
        <x:v>11</x:v>
      </x:c>
      <x:c r="P93" s="512">
        <x:v>23</x:v>
      </x:c>
      <x:c r="Q93" s="512">
        <x:v>23</x:v>
      </x:c>
      <x:c r="R93" s="512">
        <x:v>34</x:v>
      </x:c>
      <x:c r="S93" s="512">
        <x:v>19</x:v>
      </x:c>
      <x:c r="T93" s="512">
        <x:v>2</x:v>
      </x:c>
      <x:c r="U93" s="512">
        <x:v>17</x:v>
      </x:c>
      <x:c r="V93" s="512">
        <x:v>15</x:v>
      </x:c>
      <x:c r="W93" s="512">
        <x:v>19</x:v>
      </x:c>
      <x:c r="X93" s="512">
        <x:v>17</x:v>
      </x:c>
      <x:c r="Y93" s="512">
        <x:v>16</x:v>
      </x:c>
      <x:c r="Z93" s="512">
        <x:v>5</x:v>
      </x:c>
      <x:c r="AA93" s="636">
        <x:v>4</x:v>
      </x:c>
      <x:c r="AB93" s="512">
        <x:v>18</x:v>
      </x:c>
      <x:c r="AC93" s="512">
        <x:v>33</x:v>
      </x:c>
      <x:c r="AD93" s="512">
        <x:v>39</x:v>
      </x:c>
      <x:c r="AE93" s="512">
        <x:v>35</x:v>
      </x:c>
      <x:c r="AF93" s="512">
        <x:v>26</x:v>
      </x:c>
      <x:c r="AG93" s="512">
        <x:v>30</x:v>
      </x:c>
      <x:c r="AH93" s="512">
        <x:v>20</x:v>
      </x:c>
      <x:c r="AI93" s="512">
        <x:v>77</x:v>
      </x:c>
      <x:c r="AJ93" s="512">
        <x:v>51</x:v>
      </x:c>
      <x:c r="AK93" s="512">
        <x:v>22</x:v>
      </x:c>
      <x:c r="AL93" s="512">
        <x:v>23</x:v>
      </x:c>
      <x:c r="AM93" s="512">
        <x:v>34</x:v>
      </x:c>
      <x:c r="AN93" s="512"/>
      <x:c r="AO93" s="512"/>
      <x:c r="AP93" s="512"/>
      <x:c r="AQ93" s="512"/>
      <x:c r="AR93" s="512"/>
      <x:c r="AS93" s="512"/>
      <x:c r="AT93" s="512"/>
      <x:c r="AU93" s="512"/>
      <x:c r="AV93" s="512"/>
      <x:c r="AW93" s="512"/>
      <x:c r="AX93" s="512"/>
      <x:c r="AY93" s="512"/>
      <x:c r="AZ93" s="512"/>
      <x:c r="BA93" s="512"/>
      <x:c r="BB93" s="512"/>
      <x:c r="BC93" s="512"/>
      <x:c r="BD93" s="514"/>
    </x:row>
    <x:row r="94" ht="19" customHeight="1">
      <x:c r="B94" s="509">
        <x:v>30</x:v>
      </x:c>
      <x:c r="C94" s="512">
        <x:v>8</x:v>
      </x:c>
      <x:c r="D94" s="512">
        <x:v>6</x:v>
      </x:c>
      <x:c r="E94" s="512">
        <x:v>6</x:v>
      </x:c>
      <x:c r="F94" s="512">
        <x:v>9</x:v>
      </x:c>
      <x:c r="G94" s="512">
        <x:v>17</x:v>
      </x:c>
      <x:c r="H94" s="512">
        <x:v>11</x:v>
      </x:c>
      <x:c r="I94" s="512">
        <x:v>5</x:v>
      </x:c>
      <x:c r="J94" s="512">
        <x:v>6</x:v>
      </x:c>
      <x:c r="K94" s="512">
        <x:v>18</x:v>
      </x:c>
      <x:c r="L94" s="512">
        <x:v>20</x:v>
      </x:c>
      <x:c r="M94" s="512">
        <x:v>21</x:v>
      </x:c>
      <x:c r="N94" s="512">
        <x:v>25</x:v>
      </x:c>
      <x:c r="O94" s="512">
        <x:v>28</x:v>
      </x:c>
      <x:c r="P94" s="512">
        <x:v>19</x:v>
      </x:c>
      <x:c r="Q94" s="512">
        <x:v>26</x:v>
      </x:c>
      <x:c r="R94" s="512">
        <x:v>36</x:v>
      </x:c>
      <x:c r="S94" s="512">
        <x:v>53</x:v>
      </x:c>
      <x:c r="T94" s="512">
        <x:v>37</x:v>
      </x:c>
      <x:c r="U94" s="512">
        <x:v>17</x:v>
      </x:c>
      <x:c r="V94" s="512">
        <x:v>35</x:v>
      </x:c>
      <x:c r="W94" s="512">
        <x:v>22</x:v>
      </x:c>
      <x:c r="X94" s="512">
        <x:v>17</x:v>
      </x:c>
      <x:c r="Y94" s="512">
        <x:v>9</x:v>
      </x:c>
      <x:c r="Z94" s="512">
        <x:v>12</x:v>
      </x:c>
      <x:c r="AA94" s="636">
        <x:v>15</x:v>
      </x:c>
      <x:c r="AB94" s="512">
        <x:v>19</x:v>
      </x:c>
      <x:c r="AC94" s="512">
        <x:v>32</x:v>
      </x:c>
      <x:c r="AD94" s="512">
        <x:v>48</x:v>
      </x:c>
      <x:c r="AE94" s="512">
        <x:v>61</x:v>
      </x:c>
      <x:c r="AF94" s="512">
        <x:v>49</x:v>
      </x:c>
      <x:c r="AG94" s="512">
        <x:v>16</x:v>
      </x:c>
      <x:c r="AH94" s="512">
        <x:v>58</x:v>
      </x:c>
      <x:c r="AI94" s="512">
        <x:v>85</x:v>
      </x:c>
      <x:c r="AJ94" s="512">
        <x:v>109</x:v>
      </x:c>
      <x:c r="AK94" s="512">
        <x:v>32</x:v>
      </x:c>
      <x:c r="AL94" s="512">
        <x:v>43</x:v>
      </x:c>
      <x:c r="AM94" s="512">
        <x:v>126</x:v>
      </x:c>
      <x:c r="AN94" s="512"/>
      <x:c r="AO94" s="512"/>
      <x:c r="AP94" s="512"/>
      <x:c r="AQ94" s="512"/>
      <x:c r="AR94" s="512"/>
      <x:c r="AS94" s="512"/>
      <x:c r="AT94" s="512"/>
      <x:c r="AU94" s="512"/>
      <x:c r="AV94" s="512"/>
      <x:c r="AW94" s="512"/>
      <x:c r="AX94" s="512"/>
      <x:c r="AY94" s="512"/>
      <x:c r="AZ94" s="512"/>
      <x:c r="BA94" s="512"/>
      <x:c r="BB94" s="512"/>
      <x:c r="BC94" s="512"/>
      <x:c r="BD94" s="514"/>
    </x:row>
    <x:row r="95" ht="19" customHeight="1">
      <x:c r="B95" s="509">
        <x:v>31</x:v>
      </x:c>
      <x:c r="C95" s="512">
        <x:v>11</x:v>
      </x:c>
      <x:c r="D95" s="512">
        <x:v>4</x:v>
      </x:c>
      <x:c r="E95" s="512">
        <x:v>13</x:v>
      </x:c>
      <x:c r="F95" s="512">
        <x:v>20</x:v>
      </x:c>
      <x:c r="G95" s="512">
        <x:v>29</x:v>
      </x:c>
      <x:c r="H95" s="512">
        <x:v>17</x:v>
      </x:c>
      <x:c r="I95" s="512">
        <x:v>11</x:v>
      </x:c>
      <x:c r="J95" s="512">
        <x:v>11</x:v>
      </x:c>
      <x:c r="K95" s="512">
        <x:v>13</x:v>
      </x:c>
      <x:c r="L95" s="512">
        <x:v>29</x:v>
      </x:c>
      <x:c r="M95" s="512">
        <x:v>28</x:v>
      </x:c>
      <x:c r="N95" s="512">
        <x:v>41</x:v>
      </x:c>
      <x:c r="O95" s="512">
        <x:v>28</x:v>
      </x:c>
      <x:c r="P95" s="512">
        <x:v>55</x:v>
      </x:c>
      <x:c r="Q95" s="512">
        <x:v>31</x:v>
      </x:c>
      <x:c r="R95" s="512">
        <x:v>25</x:v>
      </x:c>
      <x:c r="S95" s="512">
        <x:v>36</x:v>
      </x:c>
      <x:c r="T95" s="512">
        <x:v>40</x:v>
      </x:c>
      <x:c r="U95" s="512">
        <x:v>17</x:v>
      </x:c>
      <x:c r="V95" s="512">
        <x:v>6</x:v>
      </x:c>
      <x:c r="W95" s="512">
        <x:v>6</x:v>
      </x:c>
      <x:c r="X95" s="512">
        <x:v>3</x:v>
      </x:c>
      <x:c r="Y95" s="512">
        <x:v>10</x:v>
      </x:c>
      <x:c r="Z95" s="512">
        <x:v>7</x:v>
      </x:c>
      <x:c r="AA95" s="636">
        <x:v>14</x:v>
      </x:c>
      <x:c r="AB95" s="512">
        <x:v>48</x:v>
      </x:c>
      <x:c r="AC95" s="512">
        <x:v>42</x:v>
      </x:c>
      <x:c r="AD95" s="512">
        <x:v>46</x:v>
      </x:c>
      <x:c r="AE95" s="512">
        <x:v>20</x:v>
      </x:c>
      <x:c r="AF95" s="512">
        <x:v>8</x:v>
      </x:c>
      <x:c r="AG95" s="512">
        <x:v>18</x:v>
      </x:c>
      <x:c r="AH95" s="512">
        <x:v>45</x:v>
      </x:c>
      <x:c r="AI95" s="512">
        <x:v>107</x:v>
      </x:c>
      <x:c r="AJ95" s="512">
        <x:v>110</x:v>
      </x:c>
      <x:c r="AK95" s="512">
        <x:v>40</x:v>
      </x:c>
      <x:c r="AL95" s="512">
        <x:v>57</x:v>
      </x:c>
      <x:c r="AM95" s="512">
        <x:v>40</x:v>
      </x:c>
      <x:c r="AN95" s="512"/>
      <x:c r="AO95" s="512"/>
      <x:c r="AP95" s="512"/>
      <x:c r="AQ95" s="512"/>
      <x:c r="AR95" s="512"/>
      <x:c r="AS95" s="512"/>
      <x:c r="AT95" s="512"/>
      <x:c r="AU95" s="512"/>
      <x:c r="AV95" s="512"/>
      <x:c r="AW95" s="512"/>
      <x:c r="AX95" s="512"/>
      <x:c r="AY95" s="512"/>
      <x:c r="AZ95" s="512"/>
      <x:c r="BA95" s="512"/>
      <x:c r="BB95" s="512"/>
      <x:c r="BC95" s="512"/>
      <x:c r="BD95" s="514"/>
    </x:row>
    <x:row r="96" ht="19" customHeight="1">
      <x:c r="B96" s="509">
        <x:v>32</x:v>
      </x:c>
      <x:c r="C96" s="512">
        <x:v>22</x:v>
      </x:c>
      <x:c r="D96" s="513">
        <x:v>16</x:v>
      </x:c>
      <x:c r="E96" s="512">
        <x:v>50</x:v>
      </x:c>
      <x:c r="F96" s="513">
        <x:v>52</x:v>
      </x:c>
      <x:c r="G96" s="512">
        <x:v>65</x:v>
      </x:c>
      <x:c r="H96" s="513">
        <x:v>51</x:v>
      </x:c>
      <x:c r="I96" s="512">
        <x:v>23</x:v>
      </x:c>
      <x:c r="J96" s="513">
        <x:v>39</x:v>
      </x:c>
      <x:c r="K96" s="512">
        <x:v>40</x:v>
      </x:c>
      <x:c r="L96" s="513">
        <x:v>56</x:v>
      </x:c>
      <x:c r="M96" s="512">
        <x:v>75</x:v>
      </x:c>
      <x:c r="N96" s="513">
        <x:v>56</x:v>
      </x:c>
      <x:c r="O96" s="512">
        <x:v>58</x:v>
      </x:c>
      <x:c r="P96" s="513">
        <x:v>77</x:v>
      </x:c>
      <x:c r="Q96" s="512">
        <x:v>68</x:v>
      </x:c>
      <x:c r="R96" s="513">
        <x:v>77</x:v>
      </x:c>
      <x:c r="S96" s="512">
        <x:v>104</x:v>
      </x:c>
      <x:c r="T96" s="513">
        <x:v>100</x:v>
      </x:c>
      <x:c r="U96" s="512">
        <x:v>59</x:v>
      </x:c>
      <x:c r="V96" s="512">
        <x:v>45</x:v>
      </x:c>
      <x:c r="W96" s="512">
        <x:v>34</x:v>
      </x:c>
      <x:c r="X96" s="512">
        <x:v>27</x:v>
      </x:c>
      <x:c r="Y96" s="512">
        <x:v>27</x:v>
      </x:c>
      <x:c r="Z96" s="512">
        <x:v>23</x:v>
      </x:c>
      <x:c r="AA96" s="636">
        <x:v>26</x:v>
      </x:c>
      <x:c r="AB96" s="512">
        <x:v>41</x:v>
      </x:c>
      <x:c r="AC96" s="512">
        <x:v>42</x:v>
      </x:c>
      <x:c r="AD96" s="512">
        <x:v>49</x:v>
      </x:c>
      <x:c r="AE96" s="512">
        <x:v>33</x:v>
      </x:c>
      <x:c r="AF96" s="512">
        <x:v>33</x:v>
      </x:c>
      <x:c r="AG96" s="512">
        <x:v>43</x:v>
      </x:c>
      <x:c r="AH96" s="512">
        <x:v>60</x:v>
      </x:c>
      <x:c r="AI96" s="512">
        <x:v>76</x:v>
      </x:c>
      <x:c r="AJ96" s="512">
        <x:v>82</x:v>
      </x:c>
      <x:c r="AK96" s="512">
        <x:v>69</x:v>
      </x:c>
      <x:c r="AL96" s="512">
        <x:v>129</x:v>
      </x:c>
      <x:c r="AM96" s="512">
        <x:v>8</x:v>
      </x:c>
      <x:c r="AN96" s="512"/>
      <x:c r="AO96" s="512"/>
      <x:c r="AP96" s="512"/>
      <x:c r="AQ96" s="512"/>
      <x:c r="AR96" s="512"/>
      <x:c r="AS96" s="512"/>
      <x:c r="AT96" s="512"/>
      <x:c r="AU96" s="512"/>
      <x:c r="AV96" s="512"/>
      <x:c r="AW96" s="512"/>
      <x:c r="AX96" s="512"/>
      <x:c r="AY96" s="512"/>
      <x:c r="AZ96" s="512"/>
      <x:c r="BA96" s="512"/>
      <x:c r="BB96" s="512"/>
      <x:c r="BC96" s="512"/>
      <x:c r="BD96" s="514"/>
    </x:row>
    <x:row r="97" ht="19" customHeight="1">
      <x:c r="B97" s="509">
        <x:v>33</x:v>
      </x:c>
      <x:c r="C97" s="512">
        <x:v>28</x:v>
      </x:c>
      <x:c r="D97" s="512">
        <x:v>23</x:v>
      </x:c>
      <x:c r="E97" s="512">
        <x:v>47</x:v>
      </x:c>
      <x:c r="F97" s="512">
        <x:v>45</x:v>
      </x:c>
      <x:c r="G97" s="512">
        <x:v>63</x:v>
      </x:c>
      <x:c r="H97" s="512">
        <x:v>28</x:v>
      </x:c>
      <x:c r="I97" s="512">
        <x:v>32</x:v>
      </x:c>
      <x:c r="J97" s="512">
        <x:v>29</x:v>
      </x:c>
      <x:c r="K97" s="512">
        <x:v>33</x:v>
      </x:c>
      <x:c r="L97" s="512">
        <x:v>70</x:v>
      </x:c>
      <x:c r="M97" s="512">
        <x:v>81</x:v>
      </x:c>
      <x:c r="N97" s="512">
        <x:v>62</x:v>
      </x:c>
      <x:c r="O97" s="512">
        <x:v>39</x:v>
      </x:c>
      <x:c r="P97" s="512">
        <x:v>72</x:v>
      </x:c>
      <x:c r="Q97" s="512">
        <x:v>77</x:v>
      </x:c>
      <x:c r="R97" s="512">
        <x:v>42</x:v>
      </x:c>
      <x:c r="S97" s="512">
        <x:v>49</x:v>
      </x:c>
      <x:c r="T97" s="512">
        <x:v>38</x:v>
      </x:c>
      <x:c r="U97" s="512">
        <x:v>41</x:v>
      </x:c>
      <x:c r="V97" s="512">
        <x:v>28</x:v>
      </x:c>
      <x:c r="W97" s="512">
        <x:v>40</x:v>
      </x:c>
      <x:c r="X97" s="512">
        <x:v>23</x:v>
      </x:c>
      <x:c r="Y97" s="512">
        <x:v>34</x:v>
      </x:c>
      <x:c r="Z97" s="512">
        <x:v>20</x:v>
      </x:c>
      <x:c r="AA97" s="636">
        <x:v>16</x:v>
      </x:c>
      <x:c r="AB97" s="512">
        <x:v>16</x:v>
      </x:c>
      <x:c r="AC97" s="512">
        <x:v>45</x:v>
      </x:c>
      <x:c r="AD97" s="512">
        <x:v>60</x:v>
      </x:c>
      <x:c r="AE97" s="512">
        <x:v>51</x:v>
      </x:c>
      <x:c r="AF97" s="512">
        <x:v>91</x:v>
      </x:c>
      <x:c r="AG97" s="512">
        <x:v>37</x:v>
      </x:c>
      <x:c r="AH97" s="512">
        <x:v>77</x:v>
      </x:c>
      <x:c r="AI97" s="512">
        <x:v>153</x:v>
      </x:c>
      <x:c r="AJ97" s="512">
        <x:v>94</x:v>
      </x:c>
      <x:c r="AK97" s="512">
        <x:v>36</x:v>
      </x:c>
      <x:c r="AL97" s="512">
        <x:v>32</x:v>
      </x:c>
      <x:c r="AM97" s="512">
        <x:v>31</x:v>
      </x:c>
      <x:c r="AN97" s="512"/>
      <x:c r="AO97" s="512"/>
      <x:c r="AP97" s="512"/>
      <x:c r="AQ97" s="512"/>
      <x:c r="AR97" s="512"/>
      <x:c r="AS97" s="512"/>
      <x:c r="AT97" s="512"/>
      <x:c r="AU97" s="512"/>
      <x:c r="AV97" s="512"/>
      <x:c r="AW97" s="512"/>
      <x:c r="AX97" s="512"/>
      <x:c r="AY97" s="512"/>
      <x:c r="AZ97" s="512"/>
      <x:c r="BA97" s="512"/>
      <x:c r="BB97" s="512"/>
      <x:c r="BC97" s="512"/>
      <x:c r="BD97" s="514"/>
    </x:row>
    <x:row r="98" ht="19" customHeight="1">
      <x:c r="B98" s="509">
        <x:v>34</x:v>
      </x:c>
      <x:c r="C98" s="512">
        <x:v>20</x:v>
      </x:c>
      <x:c r="D98" s="513">
        <x:v>11</x:v>
      </x:c>
      <x:c r="E98" s="512">
        <x:v>13</x:v>
      </x:c>
      <x:c r="F98" s="513">
        <x:v>37</x:v>
      </x:c>
      <x:c r="G98" s="512">
        <x:v>23</x:v>
      </x:c>
      <x:c r="H98" s="513">
        <x:v>24</x:v>
      </x:c>
      <x:c r="I98" s="512">
        <x:v>17</x:v>
      </x:c>
      <x:c r="J98" s="513">
        <x:v>25</x:v>
      </x:c>
      <x:c r="K98" s="512">
        <x:v>17</x:v>
      </x:c>
      <x:c r="L98" s="513">
        <x:v>29</x:v>
      </x:c>
      <x:c r="M98" s="512">
        <x:v>30</x:v>
      </x:c>
      <x:c r="N98" s="513">
        <x:v>22</x:v>
      </x:c>
      <x:c r="O98" s="512">
        <x:v>17</x:v>
      </x:c>
      <x:c r="P98" s="513">
        <x:v>38</x:v>
      </x:c>
      <x:c r="Q98" s="512">
        <x:v>24</x:v>
      </x:c>
      <x:c r="R98" s="513">
        <x:v>19</x:v>
      </x:c>
      <x:c r="S98" s="512">
        <x:v>37</x:v>
      </x:c>
      <x:c r="T98" s="513">
        <x:v>24</x:v>
      </x:c>
      <x:c r="U98" s="512">
        <x:v>15</x:v>
      </x:c>
      <x:c r="V98" s="512">
        <x:v>26</x:v>
      </x:c>
      <x:c r="W98" s="512">
        <x:v>15</x:v>
      </x:c>
      <x:c r="X98" s="512">
        <x:v>14</x:v>
      </x:c>
      <x:c r="Y98" s="512">
        <x:v>20</x:v>
      </x:c>
      <x:c r="Z98" s="512">
        <x:v>31</x:v>
      </x:c>
      <x:c r="AA98" s="636">
        <x:v>24</x:v>
      </x:c>
      <x:c r="AB98" s="512">
        <x:v>26</x:v>
      </x:c>
      <x:c r="AC98" s="512">
        <x:v>27</x:v>
      </x:c>
      <x:c r="AD98" s="512">
        <x:v>37</x:v>
      </x:c>
      <x:c r="AE98" s="512">
        <x:v>26</x:v>
      </x:c>
      <x:c r="AF98" s="512">
        <x:v>25</x:v>
      </x:c>
      <x:c r="AG98" s="512">
        <x:v>21</x:v>
      </x:c>
      <x:c r="AH98" s="512">
        <x:v>42</x:v>
      </x:c>
      <x:c r="AI98" s="512">
        <x:v>28</x:v>
      </x:c>
      <x:c r="AJ98" s="512">
        <x:v>50</x:v>
      </x:c>
      <x:c r="AK98" s="512">
        <x:v>14</x:v>
      </x:c>
      <x:c r="AL98" s="512">
        <x:v>21</x:v>
      </x:c>
      <x:c r="AM98" s="512">
        <x:v>100</x:v>
      </x:c>
      <x:c r="AN98" s="512"/>
      <x:c r="AO98" s="512"/>
      <x:c r="AP98" s="512"/>
      <x:c r="AQ98" s="512"/>
      <x:c r="AR98" s="512"/>
      <x:c r="AS98" s="512"/>
      <x:c r="AT98" s="512"/>
      <x:c r="AU98" s="512"/>
      <x:c r="AV98" s="512"/>
      <x:c r="AW98" s="512"/>
      <x:c r="AX98" s="512"/>
      <x:c r="AY98" s="512"/>
      <x:c r="AZ98" s="512"/>
      <x:c r="BA98" s="512"/>
      <x:c r="BB98" s="512"/>
      <x:c r="BC98" s="512"/>
      <x:c r="BD98" s="514"/>
    </x:row>
    <x:row r="99" ht="19" customHeight="1">
      <x:c r="B99" s="509">
        <x:v>35</x:v>
      </x:c>
      <x:c r="C99" s="512">
        <x:v>13</x:v>
      </x:c>
      <x:c r="D99" s="513">
        <x:v>19</x:v>
      </x:c>
      <x:c r="E99" s="512">
        <x:v>18</x:v>
      </x:c>
      <x:c r="F99" s="513">
        <x:v>19</x:v>
      </x:c>
      <x:c r="G99" s="512">
        <x:v>19</x:v>
      </x:c>
      <x:c r="H99" s="513">
        <x:v>19</x:v>
      </x:c>
      <x:c r="I99" s="512">
        <x:v>4</x:v>
      </x:c>
      <x:c r="J99" s="513">
        <x:v>7</x:v>
      </x:c>
      <x:c r="K99" s="512">
        <x:v>9</x:v>
      </x:c>
      <x:c r="L99" s="513">
        <x:v>11</x:v>
      </x:c>
      <x:c r="M99" s="512">
        <x:v>21</x:v>
      </x:c>
      <x:c r="N99" s="513">
        <x:v>20</x:v>
      </x:c>
      <x:c r="O99" s="512">
        <x:v>5</x:v>
      </x:c>
      <x:c r="P99" s="513">
        <x:v>12</x:v>
      </x:c>
      <x:c r="Q99" s="512">
        <x:v>23</x:v>
      </x:c>
      <x:c r="R99" s="513">
        <x:v>14</x:v>
      </x:c>
      <x:c r="S99" s="512">
        <x:v>28</x:v>
      </x:c>
      <x:c r="T99" s="513">
        <x:v>22</x:v>
      </x:c>
      <x:c r="U99" s="512">
        <x:v>13</x:v>
      </x:c>
      <x:c r="V99" s="512">
        <x:v>12</x:v>
      </x:c>
      <x:c r="W99" s="512">
        <x:v>24</x:v>
      </x:c>
      <x:c r="X99" s="512">
        <x:v>20</x:v>
      </x:c>
      <x:c r="Y99" s="512">
        <x:v>17</x:v>
      </x:c>
      <x:c r="Z99" s="512">
        <x:v>25</x:v>
      </x:c>
      <x:c r="AA99" s="636">
        <x:v>22</x:v>
      </x:c>
      <x:c r="AB99" s="512">
        <x:v>35</x:v>
      </x:c>
      <x:c r="AC99" s="512">
        <x:v>46</x:v>
      </x:c>
      <x:c r="AD99" s="512">
        <x:v>52</x:v>
      </x:c>
      <x:c r="AE99" s="512">
        <x:v>61</x:v>
      </x:c>
      <x:c r="AF99" s="512">
        <x:v>81</x:v>
      </x:c>
      <x:c r="AG99" s="512">
        <x:v>33</x:v>
      </x:c>
      <x:c r="AH99" s="512">
        <x:v>62</x:v>
      </x:c>
      <x:c r="AI99" s="512">
        <x:v>95</x:v>
      </x:c>
      <x:c r="AJ99" s="512">
        <x:v>80</x:v>
      </x:c>
      <x:c r="AK99" s="512">
        <x:v>46</x:v>
      </x:c>
      <x:c r="AL99" s="512">
        <x:v>63</x:v>
      </x:c>
      <x:c r="AM99" s="512">
        <x:v>126</x:v>
      </x:c>
      <x:c r="AN99" s="512"/>
      <x:c r="AO99" s="512"/>
      <x:c r="AP99" s="512"/>
      <x:c r="AQ99" s="512"/>
      <x:c r="AR99" s="512"/>
      <x:c r="AS99" s="512"/>
      <x:c r="AT99" s="512"/>
      <x:c r="AU99" s="512"/>
      <x:c r="AV99" s="512"/>
      <x:c r="AW99" s="512"/>
      <x:c r="AX99" s="512"/>
      <x:c r="AY99" s="512"/>
      <x:c r="AZ99" s="512"/>
      <x:c r="BA99" s="512"/>
      <x:c r="BB99" s="512"/>
      <x:c r="BC99" s="512"/>
      <x:c r="BD99" s="514"/>
    </x:row>
    <x:row r="100" ht="19" customHeight="1">
      <x:c r="B100" s="509">
        <x:v>36</x:v>
      </x:c>
      <x:c r="C100" s="512">
        <x:v>9</x:v>
      </x:c>
      <x:c r="D100" s="513">
        <x:v>8</x:v>
      </x:c>
      <x:c r="E100" s="512">
        <x:v>17</x:v>
      </x:c>
      <x:c r="F100" s="513">
        <x:v>31</x:v>
      </x:c>
      <x:c r="G100" s="512">
        <x:v>20</x:v>
      </x:c>
      <x:c r="H100" s="513">
        <x:v>27</x:v>
      </x:c>
      <x:c r="I100" s="512">
        <x:v>20</x:v>
      </x:c>
      <x:c r="J100" s="513">
        <x:v>26</x:v>
      </x:c>
      <x:c r="K100" s="512">
        <x:v>22</x:v>
      </x:c>
      <x:c r="L100" s="513">
        <x:v>36</x:v>
      </x:c>
      <x:c r="M100" s="512">
        <x:v>34</x:v>
      </x:c>
      <x:c r="N100" s="513">
        <x:v>33</x:v>
      </x:c>
      <x:c r="O100" s="512">
        <x:v>33</x:v>
      </x:c>
      <x:c r="P100" s="513">
        <x:v>57</x:v>
      </x:c>
      <x:c r="Q100" s="512">
        <x:v>80</x:v>
      </x:c>
      <x:c r="R100" s="513">
        <x:v>50</x:v>
      </x:c>
      <x:c r="S100" s="512">
        <x:v>89</x:v>
      </x:c>
      <x:c r="T100" s="513">
        <x:v>65</x:v>
      </x:c>
      <x:c r="U100" s="512">
        <x:v>26</x:v>
      </x:c>
      <x:c r="V100" s="512">
        <x:v>21</x:v>
      </x:c>
      <x:c r="W100" s="512">
        <x:v>35</x:v>
      </x:c>
      <x:c r="X100" s="512">
        <x:v>14</x:v>
      </x:c>
      <x:c r="Y100" s="512">
        <x:v>37</x:v>
      </x:c>
      <x:c r="Z100" s="512">
        <x:v>28</x:v>
      </x:c>
      <x:c r="AA100" s="636">
        <x:v>23</x:v>
      </x:c>
      <x:c r="AB100" s="512">
        <x:v>48</x:v>
      </x:c>
      <x:c r="AC100" s="512">
        <x:v>75</x:v>
      </x:c>
      <x:c r="AD100" s="512">
        <x:v>88</x:v>
      </x:c>
      <x:c r="AE100" s="512">
        <x:v>81</x:v>
      </x:c>
      <x:c r="AF100" s="512">
        <x:v>105</x:v>
      </x:c>
      <x:c r="AG100" s="512">
        <x:v>65</x:v>
      </x:c>
      <x:c r="AH100" s="512">
        <x:v>240</x:v>
      </x:c>
      <x:c r="AI100" s="512">
        <x:v>177</x:v>
      </x:c>
      <x:c r="AJ100" s="512">
        <x:v>231</x:v>
      </x:c>
      <x:c r="AK100" s="512">
        <x:v>67</x:v>
      </x:c>
      <x:c r="AL100" s="512">
        <x:v>98</x:v>
      </x:c>
      <x:c r="AM100" s="512">
        <x:v>47</x:v>
      </x:c>
      <x:c r="AN100" s="512"/>
      <x:c r="AO100" s="512"/>
      <x:c r="AP100" s="512"/>
      <x:c r="AQ100" s="512"/>
      <x:c r="AR100" s="512"/>
      <x:c r="AS100" s="512"/>
      <x:c r="AT100" s="512"/>
      <x:c r="AU100" s="512"/>
      <x:c r="AV100" s="512"/>
      <x:c r="AW100" s="512"/>
      <x:c r="AX100" s="512"/>
      <x:c r="AY100" s="512"/>
      <x:c r="AZ100" s="512"/>
      <x:c r="BA100" s="512"/>
      <x:c r="BB100" s="512"/>
      <x:c r="BC100" s="512"/>
      <x:c r="BD100" s="514"/>
    </x:row>
    <x:row r="101" ht="19" customHeight="1">
      <x:c r="B101" s="509">
        <x:v>37</x:v>
      </x:c>
      <x:c r="C101" s="512">
        <x:v>37</x:v>
      </x:c>
      <x:c r="D101" s="513">
        <x:v>26</x:v>
      </x:c>
      <x:c r="E101" s="512">
        <x:v>65</x:v>
      </x:c>
      <x:c r="F101" s="513">
        <x:v>93</x:v>
      </x:c>
      <x:c r="G101" s="512">
        <x:v>98</x:v>
      </x:c>
      <x:c r="H101" s="513">
        <x:v>68</x:v>
      </x:c>
      <x:c r="I101" s="512">
        <x:v>43</x:v>
      </x:c>
      <x:c r="J101" s="513">
        <x:v>51</x:v>
      </x:c>
      <x:c r="K101" s="512">
        <x:v>70</x:v>
      </x:c>
      <x:c r="L101" s="513">
        <x:v>65</x:v>
      </x:c>
      <x:c r="M101" s="512">
        <x:v>53</x:v>
      </x:c>
      <x:c r="N101" s="513">
        <x:v>48</x:v>
      </x:c>
      <x:c r="O101" s="512">
        <x:v>27</x:v>
      </x:c>
      <x:c r="P101" s="513">
        <x:v>44</x:v>
      </x:c>
      <x:c r="Q101" s="512">
        <x:v>50</x:v>
      </x:c>
      <x:c r="R101" s="513">
        <x:v>52</x:v>
      </x:c>
      <x:c r="S101" s="512">
        <x:v>42</x:v>
      </x:c>
      <x:c r="T101" s="513">
        <x:v>44</x:v>
      </x:c>
      <x:c r="U101" s="512">
        <x:v>9</x:v>
      </x:c>
      <x:c r="V101" s="512">
        <x:v>7</x:v>
      </x:c>
      <x:c r="W101" s="512">
        <x:v>4</x:v>
      </x:c>
      <x:c r="X101" s="512">
        <x:v>22</x:v>
      </x:c>
      <x:c r="Y101" s="512">
        <x:v>59</x:v>
      </x:c>
      <x:c r="Z101" s="512">
        <x:v>78</x:v>
      </x:c>
      <x:c r="AA101" s="636">
        <x:v>53</x:v>
      </x:c>
      <x:c r="AB101" s="512">
        <x:v>58</x:v>
      </x:c>
      <x:c r="AC101" s="512">
        <x:v>97</x:v>
      </x:c>
      <x:c r="AD101" s="512">
        <x:v>99</x:v>
      </x:c>
      <x:c r="AE101" s="512">
        <x:v>107</x:v>
      </x:c>
      <x:c r="AF101" s="512">
        <x:v>133</x:v>
      </x:c>
      <x:c r="AG101" s="512">
        <x:v>56</x:v>
      </x:c>
      <x:c r="AH101" s="512">
        <x:v>70</x:v>
      </x:c>
      <x:c r="AI101" s="512">
        <x:v>151</x:v>
      </x:c>
      <x:c r="AJ101" s="512">
        <x:v>221</x:v>
      </x:c>
      <x:c r="AK101" s="512">
        <x:v>83</x:v>
      </x:c>
      <x:c r="AL101" s="512">
        <x:v>142</x:v>
      </x:c>
      <x:c r="AM101" s="512">
        <x:v>136</x:v>
      </x:c>
      <x:c r="AN101" s="512"/>
      <x:c r="AO101" s="512"/>
      <x:c r="AP101" s="512"/>
      <x:c r="AQ101" s="512"/>
      <x:c r="AR101" s="512"/>
      <x:c r="AS101" s="512"/>
      <x:c r="AT101" s="512"/>
      <x:c r="AU101" s="512"/>
      <x:c r="AV101" s="512"/>
      <x:c r="AW101" s="512"/>
      <x:c r="AX101" s="512"/>
      <x:c r="AY101" s="512"/>
      <x:c r="AZ101" s="512"/>
      <x:c r="BA101" s="512"/>
      <x:c r="BB101" s="512"/>
      <x:c r="BC101" s="512"/>
      <x:c r="BD101" s="514"/>
    </x:row>
    <x:row r="102" ht="19" customHeight="1">
      <x:c r="B102" s="509">
        <x:v>38</x:v>
      </x:c>
      <x:c r="C102" s="512">
        <x:v>6</x:v>
      </x:c>
      <x:c r="D102" s="513">
        <x:v>41</x:v>
      </x:c>
      <x:c r="E102" s="512">
        <x:v>24</x:v>
      </x:c>
      <x:c r="F102" s="513">
        <x:v>49</x:v>
      </x:c>
      <x:c r="G102" s="512">
        <x:v>38</x:v>
      </x:c>
      <x:c r="H102" s="513">
        <x:v>36</x:v>
      </x:c>
      <x:c r="I102" s="512">
        <x:v>30</x:v>
      </x:c>
      <x:c r="J102" s="513">
        <x:v>33</x:v>
      </x:c>
      <x:c r="K102" s="512">
        <x:v>23</x:v>
      </x:c>
      <x:c r="L102" s="513">
        <x:v>35</x:v>
      </x:c>
      <x:c r="M102" s="512">
        <x:v>27</x:v>
      </x:c>
      <x:c r="N102" s="513">
        <x:v>21</x:v>
      </x:c>
      <x:c r="O102" s="512">
        <x:v>17</x:v>
      </x:c>
      <x:c r="P102" s="513">
        <x:v>13</x:v>
      </x:c>
      <x:c r="Q102" s="512">
        <x:v>37</x:v>
      </x:c>
      <x:c r="R102" s="513">
        <x:v>11</x:v>
      </x:c>
      <x:c r="S102" s="512">
        <x:v>26</x:v>
      </x:c>
      <x:c r="T102" s="513">
        <x:v>17</x:v>
      </x:c>
      <x:c r="U102" s="512">
        <x:v>12</x:v>
      </x:c>
      <x:c r="V102" s="512">
        <x:v>7</x:v>
      </x:c>
      <x:c r="W102" s="512">
        <x:v>13</x:v>
      </x:c>
      <x:c r="X102" s="512">
        <x:v>6</x:v>
      </x:c>
      <x:c r="Y102" s="512">
        <x:v>7</x:v>
      </x:c>
      <x:c r="Z102" s="512">
        <x:v>8</x:v>
      </x:c>
      <x:c r="AA102" s="636">
        <x:v>9</x:v>
      </x:c>
      <x:c r="AB102" s="512">
        <x:v>15</x:v>
      </x:c>
      <x:c r="AC102" s="512">
        <x:v>21</x:v>
      </x:c>
      <x:c r="AD102" s="512">
        <x:v>18</x:v>
      </x:c>
      <x:c r="AE102" s="512">
        <x:v>36</x:v>
      </x:c>
      <x:c r="AF102" s="512">
        <x:v>35</x:v>
      </x:c>
      <x:c r="AG102" s="512">
        <x:v>28</x:v>
      </x:c>
      <x:c r="AH102" s="512">
        <x:v>59</x:v>
      </x:c>
      <x:c r="AI102" s="512">
        <x:v>83</x:v>
      </x:c>
      <x:c r="AJ102" s="512">
        <x:v>112</x:v>
      </x:c>
      <x:c r="AK102" s="512">
        <x:v>35</x:v>
      </x:c>
      <x:c r="AL102" s="512">
        <x:v>69</x:v>
      </x:c>
      <x:c r="AM102" s="512">
        <x:v>98</x:v>
      </x:c>
      <x:c r="AN102" s="512"/>
      <x:c r="AO102" s="512"/>
      <x:c r="AP102" s="512"/>
      <x:c r="AQ102" s="512"/>
      <x:c r="AR102" s="512"/>
      <x:c r="AS102" s="512"/>
      <x:c r="AT102" s="512"/>
      <x:c r="AU102" s="512"/>
      <x:c r="AV102" s="512"/>
      <x:c r="AW102" s="512"/>
      <x:c r="AX102" s="512"/>
      <x:c r="AY102" s="512"/>
      <x:c r="AZ102" s="512"/>
      <x:c r="BA102" s="512"/>
      <x:c r="BB102" s="512"/>
      <x:c r="BC102" s="512"/>
      <x:c r="BD102" s="514"/>
    </x:row>
    <x:row r="103" ht="19" customHeight="1">
      <x:c r="B103" s="509">
        <x:v>39</x:v>
      </x:c>
      <x:c r="C103" s="519"/>
      <x:c r="D103" s="519"/>
      <x:c r="E103" s="519"/>
      <x:c r="F103" s="513">
        <x:v>61</x:v>
      </x:c>
      <x:c r="G103" s="512">
        <x:v>91</x:v>
      </x:c>
      <x:c r="H103" s="513">
        <x:v>64</x:v>
      </x:c>
      <x:c r="I103" s="512">
        <x:v>51</x:v>
      </x:c>
      <x:c r="J103" s="513">
        <x:v>56</x:v>
      </x:c>
      <x:c r="K103" s="512">
        <x:v>56</x:v>
      </x:c>
      <x:c r="L103" s="513">
        <x:v>61</x:v>
      </x:c>
      <x:c r="M103" s="512">
        <x:v>65</x:v>
      </x:c>
      <x:c r="N103" s="513">
        <x:v>25</x:v>
      </x:c>
      <x:c r="O103" s="512">
        <x:v>26</x:v>
      </x:c>
      <x:c r="P103" s="513">
        <x:v>46</x:v>
      </x:c>
      <x:c r="Q103" s="512">
        <x:v>52</x:v>
      </x:c>
      <x:c r="R103" s="513">
        <x:v>48</x:v>
      </x:c>
      <x:c r="S103" s="512">
        <x:v>48</x:v>
      </x:c>
      <x:c r="T103" s="513">
        <x:v>35</x:v>
      </x:c>
      <x:c r="U103" s="512">
        <x:v>26</x:v>
      </x:c>
      <x:c r="V103" s="512">
        <x:v>28</x:v>
      </x:c>
      <x:c r="W103" s="512">
        <x:v>58</x:v>
      </x:c>
      <x:c r="X103" s="512">
        <x:v>33</x:v>
      </x:c>
      <x:c r="Y103" s="512">
        <x:v>41</x:v>
      </x:c>
      <x:c r="Z103" s="512">
        <x:v>43</x:v>
      </x:c>
      <x:c r="AA103" s="636">
        <x:v>34</x:v>
      </x:c>
      <x:c r="AB103" s="512">
        <x:v>57</x:v>
      </x:c>
      <x:c r="AC103" s="512">
        <x:v>104</x:v>
      </x:c>
      <x:c r="AD103" s="512">
        <x:v>132</x:v>
      </x:c>
      <x:c r="AE103" s="512">
        <x:v>121</x:v>
      </x:c>
      <x:c r="AF103" s="512">
        <x:v>157</x:v>
      </x:c>
      <x:c r="AG103" s="512">
        <x:v>82</x:v>
      </x:c>
      <x:c r="AH103" s="512">
        <x:v>173</x:v>
      </x:c>
      <x:c r="AI103" s="512">
        <x:v>300</x:v>
      </x:c>
      <x:c r="AJ103" s="512">
        <x:v>307</x:v>
      </x:c>
      <x:c r="AK103" s="512">
        <x:v>109</x:v>
      </x:c>
      <x:c r="AL103" s="512">
        <x:v>217</x:v>
      </x:c>
      <x:c r="AM103" s="512">
        <x:v>51</x:v>
      </x:c>
      <x:c r="AN103" s="512"/>
      <x:c r="AO103" s="512"/>
      <x:c r="AP103" s="512"/>
      <x:c r="AQ103" s="512"/>
      <x:c r="AR103" s="512"/>
      <x:c r="AS103" s="512"/>
      <x:c r="AT103" s="512"/>
      <x:c r="AU103" s="512"/>
      <x:c r="AV103" s="512"/>
      <x:c r="AW103" s="512"/>
      <x:c r="AX103" s="512"/>
      <x:c r="AY103" s="512"/>
      <x:c r="AZ103" s="512"/>
      <x:c r="BA103" s="512"/>
      <x:c r="BB103" s="512"/>
      <x:c r="BC103" s="512"/>
      <x:c r="BD103" s="514"/>
    </x:row>
    <x:row r="104" ht="19" customHeight="1">
      <x:c r="B104" s="509">
        <x:v>40</x:v>
      </x:c>
      <x:c r="C104" s="519"/>
      <x:c r="D104" s="519"/>
      <x:c r="E104" s="519"/>
      <x:c r="F104" s="513">
        <x:v>5</x:v>
      </x:c>
      <x:c r="G104" s="512">
        <x:v>64</x:v>
      </x:c>
      <x:c r="H104" s="513">
        <x:v>27</x:v>
      </x:c>
      <x:c r="I104" s="512">
        <x:v>37</x:v>
      </x:c>
      <x:c r="J104" s="513">
        <x:v>27</x:v>
      </x:c>
      <x:c r="K104" s="512">
        <x:v>31</x:v>
      </x:c>
      <x:c r="L104" s="513">
        <x:v>43</x:v>
      </x:c>
      <x:c r="M104" s="512">
        <x:v>55</x:v>
      </x:c>
      <x:c r="N104" s="513">
        <x:v>49</x:v>
      </x:c>
      <x:c r="O104" s="512">
        <x:v>52</x:v>
      </x:c>
      <x:c r="P104" s="513">
        <x:v>56</x:v>
      </x:c>
      <x:c r="Q104" s="512">
        <x:v>72</x:v>
      </x:c>
      <x:c r="R104" s="513">
        <x:v>53</x:v>
      </x:c>
      <x:c r="S104" s="512">
        <x:v>45</x:v>
      </x:c>
      <x:c r="T104" s="513">
        <x:v>62</x:v>
      </x:c>
      <x:c r="U104" s="512">
        <x:v>46</x:v>
      </x:c>
      <x:c r="V104" s="512">
        <x:v>59</x:v>
      </x:c>
      <x:c r="W104" s="512">
        <x:v>59</x:v>
      </x:c>
      <x:c r="X104" s="512">
        <x:v>23</x:v>
      </x:c>
      <x:c r="Y104" s="512">
        <x:v>29</x:v>
      </x:c>
      <x:c r="Z104" s="512">
        <x:v>18</x:v>
      </x:c>
      <x:c r="AA104" s="636">
        <x:v>12</x:v>
      </x:c>
      <x:c r="AB104" s="512">
        <x:v>38</x:v>
      </x:c>
      <x:c r="AC104" s="512">
        <x:v>32</x:v>
      </x:c>
      <x:c r="AD104" s="512">
        <x:v>38</x:v>
      </x:c>
      <x:c r="AE104" s="512">
        <x:v>39</x:v>
      </x:c>
      <x:c r="AF104" s="512">
        <x:v>54</x:v>
      </x:c>
      <x:c r="AG104" s="512">
        <x:v>24</x:v>
      </x:c>
      <x:c r="AH104" s="512">
        <x:v>54</x:v>
      </x:c>
      <x:c r="AI104" s="512">
        <x:v>108</x:v>
      </x:c>
      <x:c r="AJ104" s="512">
        <x:v>116</x:v>
      </x:c>
      <x:c r="AK104" s="512">
        <x:v>70</x:v>
      </x:c>
      <x:c r="AL104" s="512">
        <x:v>105</x:v>
      </x:c>
      <x:c r="AM104" s="512">
        <x:v>177</x:v>
      </x:c>
      <x:c r="AN104" s="512"/>
      <x:c r="AO104" s="512"/>
      <x:c r="AP104" s="512"/>
      <x:c r="AQ104" s="512"/>
      <x:c r="AR104" s="512"/>
      <x:c r="AS104" s="512"/>
      <x:c r="AT104" s="512"/>
      <x:c r="AU104" s="512"/>
      <x:c r="AV104" s="512"/>
      <x:c r="AW104" s="512"/>
      <x:c r="AX104" s="512"/>
      <x:c r="AY104" s="512"/>
      <x:c r="AZ104" s="512"/>
      <x:c r="BA104" s="512"/>
      <x:c r="BB104" s="512"/>
      <x:c r="BC104" s="512"/>
      <x:c r="BD104" s="514"/>
    </x:row>
    <x:row r="105" ht="19" customHeight="1">
      <x:c r="B105" s="509">
        <x:v>41</x:v>
      </x:c>
      <x:c r="C105" s="519"/>
      <x:c r="D105" s="519"/>
      <x:c r="E105" s="519"/>
      <x:c r="F105" s="519"/>
      <x:c r="G105" s="519"/>
      <x:c r="H105" s="519"/>
      <x:c r="I105" s="512">
        <x:v>33</x:v>
      </x:c>
      <x:c r="J105" s="513">
        <x:v>54</x:v>
      </x:c>
      <x:c r="K105" s="512">
        <x:v>57</x:v>
      </x:c>
      <x:c r="L105" s="513">
        <x:v>72</x:v>
      </x:c>
      <x:c r="M105" s="512">
        <x:v>112</x:v>
      </x:c>
      <x:c r="N105" s="513">
        <x:v>74</x:v>
      </x:c>
      <x:c r="O105" s="512">
        <x:v>64</x:v>
      </x:c>
      <x:c r="P105" s="513">
        <x:v>91</x:v>
      </x:c>
      <x:c r="Q105" s="512">
        <x:v>120</x:v>
      </x:c>
      <x:c r="R105" s="513">
        <x:v>88</x:v>
      </x:c>
      <x:c r="S105" s="512">
        <x:v>86</x:v>
      </x:c>
      <x:c r="T105" s="513">
        <x:v>79</x:v>
      </x:c>
      <x:c r="U105" s="512">
        <x:v>27</x:v>
      </x:c>
      <x:c r="V105" s="512">
        <x:v>36</x:v>
      </x:c>
      <x:c r="W105" s="512">
        <x:v>39</x:v>
      </x:c>
      <x:c r="X105" s="512">
        <x:v>31</x:v>
      </x:c>
      <x:c r="Y105" s="512">
        <x:v>15</x:v>
      </x:c>
      <x:c r="Z105" s="512">
        <x:v>11</x:v>
      </x:c>
      <x:c r="AA105" s="636">
        <x:v>20</x:v>
      </x:c>
      <x:c r="AB105" s="512">
        <x:v>32</x:v>
      </x:c>
      <x:c r="AC105" s="512">
        <x:v>32</x:v>
      </x:c>
      <x:c r="AD105" s="512">
        <x:v>42</x:v>
      </x:c>
      <x:c r="AE105" s="512">
        <x:v>42</x:v>
      </x:c>
      <x:c r="AF105" s="512">
        <x:v>31</x:v>
      </x:c>
      <x:c r="AG105" s="512">
        <x:v>47</x:v>
      </x:c>
      <x:c r="AH105" s="512">
        <x:v>76</x:v>
      </x:c>
      <x:c r="AI105" s="512">
        <x:v>90</x:v>
      </x:c>
      <x:c r="AJ105" s="512">
        <x:v>98</x:v>
      </x:c>
      <x:c r="AK105" s="512">
        <x:v>46</x:v>
      </x:c>
      <x:c r="AL105" s="512">
        <x:v>83</x:v>
      </x:c>
      <x:c r="AM105" s="512">
        <x:v>51</x:v>
      </x:c>
      <x:c r="AN105" s="512"/>
      <x:c r="AO105" s="512"/>
      <x:c r="AP105" s="512"/>
      <x:c r="AQ105" s="512"/>
      <x:c r="AR105" s="512"/>
      <x:c r="AS105" s="512"/>
      <x:c r="AT105" s="512"/>
      <x:c r="AU105" s="512"/>
      <x:c r="AV105" s="512"/>
      <x:c r="AW105" s="512"/>
      <x:c r="AX105" s="512"/>
      <x:c r="AY105" s="512"/>
      <x:c r="AZ105" s="512"/>
      <x:c r="BA105" s="512"/>
      <x:c r="BB105" s="512"/>
      <x:c r="BC105" s="512"/>
      <x:c r="BD105" s="514"/>
    </x:row>
    <x:row r="106" ht="19" customHeight="1">
      <x:c r="B106" s="509">
        <x:v>42</x:v>
      </x:c>
      <x:c r="C106" s="519"/>
      <x:c r="D106" s="519"/>
      <x:c r="E106" s="519"/>
      <x:c r="F106" s="519"/>
      <x:c r="G106" s="519"/>
      <x:c r="H106" s="519"/>
      <x:c r="I106" s="519"/>
      <x:c r="J106" s="513">
        <x:v>6</x:v>
      </x:c>
      <x:c r="K106" s="512">
        <x:v>24</x:v>
      </x:c>
      <x:c r="L106" s="513">
        <x:v>38</x:v>
      </x:c>
      <x:c r="M106" s="512">
        <x:v>35</x:v>
      </x:c>
      <x:c r="N106" s="513">
        <x:v>41</x:v>
      </x:c>
      <x:c r="O106" s="512">
        <x:v>25</x:v>
      </x:c>
      <x:c r="P106" s="513">
        <x:v>78</x:v>
      </x:c>
      <x:c r="Q106" s="512">
        <x:v>77</x:v>
      </x:c>
      <x:c r="R106" s="513">
        <x:v>58</x:v>
      </x:c>
      <x:c r="S106" s="512">
        <x:v>62</x:v>
      </x:c>
      <x:c r="T106" s="513">
        <x:v>55</x:v>
      </x:c>
      <x:c r="U106" s="512">
        <x:v>17</x:v>
      </x:c>
      <x:c r="V106" s="512">
        <x:v>18</x:v>
      </x:c>
      <x:c r="W106" s="512">
        <x:v>23</x:v>
      </x:c>
      <x:c r="X106" s="512">
        <x:v>11</x:v>
      </x:c>
      <x:c r="Y106" s="512">
        <x:v>35</x:v>
      </x:c>
      <x:c r="Z106" s="512">
        <x:v>33</x:v>
      </x:c>
      <x:c r="AA106" s="636">
        <x:v>30</x:v>
      </x:c>
      <x:c r="AB106" s="512">
        <x:v>32</x:v>
      </x:c>
      <x:c r="AC106" s="512">
        <x:v>34</x:v>
      </x:c>
      <x:c r="AD106" s="512">
        <x:v>66</x:v>
      </x:c>
      <x:c r="AE106" s="512">
        <x:v>66</x:v>
      </x:c>
      <x:c r="AF106" s="512">
        <x:v>66</x:v>
      </x:c>
      <x:c r="AG106" s="512">
        <x:v>31</x:v>
      </x:c>
      <x:c r="AH106" s="512">
        <x:v>51</x:v>
      </x:c>
      <x:c r="AI106" s="512">
        <x:v>137</x:v>
      </x:c>
      <x:c r="AJ106" s="512">
        <x:v>190</x:v>
      </x:c>
      <x:c r="AK106" s="512">
        <x:v>112</x:v>
      </x:c>
      <x:c r="AL106" s="512">
        <x:v>200</x:v>
      </x:c>
      <x:c r="AM106" s="512">
        <x:v>101</x:v>
      </x:c>
      <x:c r="AN106" s="512"/>
      <x:c r="AO106" s="512"/>
      <x:c r="AP106" s="512"/>
      <x:c r="AQ106" s="512"/>
      <x:c r="AR106" s="512"/>
      <x:c r="AS106" s="512"/>
      <x:c r="AT106" s="512"/>
      <x:c r="AU106" s="512"/>
      <x:c r="AV106" s="512"/>
      <x:c r="AW106" s="512"/>
      <x:c r="AX106" s="512"/>
      <x:c r="AY106" s="512"/>
      <x:c r="AZ106" s="512"/>
      <x:c r="BA106" s="512"/>
      <x:c r="BB106" s="512"/>
      <x:c r="BC106" s="512"/>
      <x:c r="BD106" s="514"/>
    </x:row>
    <x:row r="107" ht="19" customHeight="1">
      <x:c r="B107" s="509">
        <x:v>43</x:v>
      </x:c>
      <x:c r="C107" s="519"/>
      <x:c r="D107" s="519"/>
      <x:c r="E107" s="519"/>
      <x:c r="F107" s="519"/>
      <x:c r="G107" s="519"/>
      <x:c r="H107" s="519"/>
      <x:c r="I107" s="519"/>
      <x:c r="J107" s="519"/>
      <x:c r="K107" s="519"/>
      <x:c r="L107" s="519"/>
      <x:c r="M107" s="519"/>
      <x:c r="N107" s="519"/>
      <x:c r="O107" s="512">
        <x:v>167</x:v>
      </x:c>
      <x:c r="P107" s="513">
        <x:v>153</x:v>
      </x:c>
      <x:c r="Q107" s="512">
        <x:v>123</x:v>
      </x:c>
      <x:c r="R107" s="513">
        <x:v>117</x:v>
      </x:c>
      <x:c r="S107" s="512">
        <x:v>111</x:v>
      </x:c>
      <x:c r="T107" s="513">
        <x:v>88</x:v>
      </x:c>
      <x:c r="U107" s="512">
        <x:v>57</x:v>
      </x:c>
      <x:c r="V107" s="512">
        <x:v>39</x:v>
      </x:c>
      <x:c r="W107" s="512">
        <x:v>37</x:v>
      </x:c>
      <x:c r="X107" s="512">
        <x:v>37</x:v>
      </x:c>
      <x:c r="Y107" s="512">
        <x:v>46</x:v>
      </x:c>
      <x:c r="Z107" s="512">
        <x:v>48</x:v>
      </x:c>
      <x:c r="AA107" s="636">
        <x:v>43</x:v>
      </x:c>
      <x:c r="AB107" s="512">
        <x:v>71</x:v>
      </x:c>
      <x:c r="AC107" s="512">
        <x:v>112</x:v>
      </x:c>
      <x:c r="AD107" s="512">
        <x:v>116</x:v>
      </x:c>
      <x:c r="AE107" s="512">
        <x:v>125</x:v>
      </x:c>
      <x:c r="AF107" s="512">
        <x:v>127</x:v>
      </x:c>
      <x:c r="AG107" s="512">
        <x:v>86</x:v>
      </x:c>
      <x:c r="AH107" s="512">
        <x:v>137</x:v>
      </x:c>
      <x:c r="AI107" s="512">
        <x:v>203</x:v>
      </x:c>
      <x:c r="AJ107" s="512">
        <x:v>229</x:v>
      </x:c>
      <x:c r="AK107" s="512">
        <x:v>88</x:v>
      </x:c>
      <x:c r="AL107" s="512">
        <x:v>404</x:v>
      </x:c>
      <x:c r="AM107" s="512">
        <x:v>40</x:v>
      </x:c>
      <x:c r="AN107" s="512"/>
      <x:c r="AO107" s="512"/>
      <x:c r="AP107" s="512"/>
      <x:c r="AQ107" s="512"/>
      <x:c r="AR107" s="512"/>
      <x:c r="AS107" s="512"/>
      <x:c r="AT107" s="512"/>
      <x:c r="AU107" s="512"/>
      <x:c r="AV107" s="512"/>
      <x:c r="AW107" s="512"/>
      <x:c r="AX107" s="512"/>
      <x:c r="AY107" s="512"/>
      <x:c r="AZ107" s="512"/>
      <x:c r="BA107" s="512"/>
      <x:c r="BB107" s="512"/>
      <x:c r="BC107" s="512"/>
      <x:c r="BD107" s="514"/>
    </x:row>
    <x:row r="108" ht="19" customHeight="1">
      <x:c r="B108" s="509">
        <x:v>44</x:v>
      </x:c>
      <x:c r="C108" s="519"/>
      <x:c r="D108" s="519"/>
      <x:c r="E108" s="519"/>
      <x:c r="F108" s="519"/>
      <x:c r="G108" s="519"/>
      <x:c r="H108" s="519"/>
      <x:c r="I108" s="519"/>
      <x:c r="J108" s="519"/>
      <x:c r="K108" s="519"/>
      <x:c r="L108" s="513">
        <x:v>38</x:v>
      </x:c>
      <x:c r="M108" s="512">
        <x:v>44</x:v>
      </x:c>
      <x:c r="N108" s="513">
        <x:v>6</x:v>
      </x:c>
      <x:c r="O108" s="512">
        <x:v>1</x:v>
      </x:c>
      <x:c r="P108" s="513">
        <x:v>0</x:v>
      </x:c>
      <x:c r="Q108" s="512">
        <x:v>0</x:v>
      </x:c>
      <x:c r="R108" s="513">
        <x:v>0</x:v>
      </x:c>
      <x:c r="S108" s="512">
        <x:v>3</x:v>
      </x:c>
      <x:c r="T108" s="513">
        <x:v>10</x:v>
      </x:c>
      <x:c r="U108" s="512">
        <x:v>13</x:v>
      </x:c>
      <x:c r="V108" s="512">
        <x:v>7</x:v>
      </x:c>
      <x:c r="W108" s="512">
        <x:v>13</x:v>
      </x:c>
      <x:c r="X108" s="512">
        <x:v>3</x:v>
      </x:c>
      <x:c r="Y108" s="512">
        <x:v>1</x:v>
      </x:c>
      <x:c r="Z108" s="512">
        <x:v>3</x:v>
      </x:c>
      <x:c r="AA108" s="636">
        <x:v>6</x:v>
      </x:c>
      <x:c r="AB108" s="512">
        <x:v>6</x:v>
      </x:c>
      <x:c r="AC108" s="512">
        <x:v>2</x:v>
      </x:c>
      <x:c r="AD108" s="512">
        <x:v>8</x:v>
      </x:c>
      <x:c r="AE108" s="512">
        <x:v>23</x:v>
      </x:c>
      <x:c r="AF108" s="512">
        <x:v>20</x:v>
      </x:c>
      <x:c r="AG108" s="512">
        <x:v>23</x:v>
      </x:c>
      <x:c r="AH108" s="512">
        <x:v>74</x:v>
      </x:c>
      <x:c r="AI108" s="512">
        <x:v>110</x:v>
      </x:c>
      <x:c r="AJ108" s="512">
        <x:v>38</x:v>
      </x:c>
      <x:c r="AK108" s="512">
        <x:v>46</x:v>
      </x:c>
      <x:c r="AL108" s="512">
        <x:v>98</x:v>
      </x:c>
      <x:c r="AM108" s="512">
        <x:v>83</x:v>
      </x:c>
      <x:c r="AN108" s="512"/>
      <x:c r="AO108" s="512"/>
      <x:c r="AP108" s="512"/>
      <x:c r="AQ108" s="512"/>
      <x:c r="AR108" s="512"/>
      <x:c r="AS108" s="512"/>
      <x:c r="AT108" s="512"/>
      <x:c r="AU108" s="512"/>
      <x:c r="AV108" s="512"/>
      <x:c r="AW108" s="512"/>
      <x:c r="AX108" s="512"/>
      <x:c r="AY108" s="512"/>
      <x:c r="AZ108" s="512"/>
      <x:c r="BA108" s="512"/>
      <x:c r="BB108" s="512"/>
      <x:c r="BC108" s="512"/>
      <x:c r="BD108" s="514"/>
    </x:row>
    <x:row r="109" ht="19" customHeight="1">
      <x:c r="B109" s="509">
        <x:v>45</x:v>
      </x:c>
      <x:c r="C109" s="519"/>
      <x:c r="D109" s="519"/>
      <x:c r="E109" s="519"/>
      <x:c r="F109" s="519"/>
      <x:c r="G109" s="519"/>
      <x:c r="H109" s="519"/>
      <x:c r="I109" s="519"/>
      <x:c r="J109" s="519"/>
      <x:c r="K109" s="519"/>
      <x:c r="L109" s="519"/>
      <x:c r="M109" s="512">
        <x:v>54</x:v>
      </x:c>
      <x:c r="N109" s="513">
        <x:v>38</x:v>
      </x:c>
      <x:c r="O109" s="512">
        <x:v>30</x:v>
      </x:c>
      <x:c r="P109" s="513">
        <x:v>26</x:v>
      </x:c>
      <x:c r="Q109" s="512">
        <x:v>34</x:v>
      </x:c>
      <x:c r="R109" s="513">
        <x:v>46</x:v>
      </x:c>
      <x:c r="S109" s="512">
        <x:v>44</x:v>
      </x:c>
      <x:c r="T109" s="513">
        <x:v>18</x:v>
      </x:c>
      <x:c r="U109" s="512">
        <x:v>11</x:v>
      </x:c>
      <x:c r="V109" s="512">
        <x:v>23</x:v>
      </x:c>
      <x:c r="W109" s="512">
        <x:v>24</x:v>
      </x:c>
      <x:c r="X109" s="512">
        <x:v>4</x:v>
      </x:c>
      <x:c r="Y109" s="512">
        <x:v>11</x:v>
      </x:c>
      <x:c r="Z109" s="512">
        <x:v>4</x:v>
      </x:c>
      <x:c r="AA109" s="636">
        <x:v>5</x:v>
      </x:c>
      <x:c r="AB109" s="512">
        <x:v>16</x:v>
      </x:c>
      <x:c r="AC109" s="512">
        <x:v>22</x:v>
      </x:c>
      <x:c r="AD109" s="512">
        <x:v>21</x:v>
      </x:c>
      <x:c r="AE109" s="512">
        <x:v>28</x:v>
      </x:c>
      <x:c r="AF109" s="512">
        <x:v>8</x:v>
      </x:c>
      <x:c r="AG109" s="512">
        <x:v>9</x:v>
      </x:c>
      <x:c r="AH109" s="512">
        <x:v>24</x:v>
      </x:c>
      <x:c r="AI109" s="512">
        <x:v>59</x:v>
      </x:c>
      <x:c r="AJ109" s="512">
        <x:v>90</x:v>
      </x:c>
      <x:c r="AK109" s="512">
        <x:v>40</x:v>
      </x:c>
      <x:c r="AL109" s="512">
        <x:v>71</x:v>
      </x:c>
      <x:c r="AM109" s="512">
        <x:v>5</x:v>
      </x:c>
      <x:c r="AN109" s="512"/>
      <x:c r="AO109" s="512"/>
      <x:c r="AP109" s="512"/>
      <x:c r="AQ109" s="512"/>
      <x:c r="AR109" s="512"/>
      <x:c r="AS109" s="512"/>
      <x:c r="AT109" s="512"/>
      <x:c r="AU109" s="512"/>
      <x:c r="AV109" s="512"/>
      <x:c r="AW109" s="512"/>
      <x:c r="AX109" s="512"/>
      <x:c r="AY109" s="512"/>
      <x:c r="AZ109" s="512"/>
      <x:c r="BA109" s="512"/>
      <x:c r="BB109" s="512"/>
      <x:c r="BC109" s="512"/>
      <x:c r="BD109" s="514"/>
    </x:row>
    <x:row r="110" ht="19" customHeight="1">
      <x:c r="B110" s="509">
        <x:v>46</x:v>
      </x:c>
      <x:c r="C110" s="519"/>
      <x:c r="D110" s="519"/>
      <x:c r="E110" s="519"/>
      <x:c r="F110" s="519"/>
      <x:c r="G110" s="519"/>
      <x:c r="H110" s="519"/>
      <x:c r="I110" s="519"/>
      <x:c r="J110" s="519"/>
      <x:c r="K110" s="519"/>
      <x:c r="L110" s="519"/>
      <x:c r="M110" s="519"/>
      <x:c r="N110" s="519"/>
      <x:c r="O110" s="519"/>
      <x:c r="P110" s="519"/>
      <x:c r="Q110" s="512">
        <x:v>20</x:v>
      </x:c>
      <x:c r="R110" s="513">
        <x:v>79</x:v>
      </x:c>
      <x:c r="S110" s="512">
        <x:v>55</x:v>
      </x:c>
      <x:c r="T110" s="513">
        <x:v>47</x:v>
      </x:c>
      <x:c r="U110" s="512">
        <x:v>30</x:v>
      </x:c>
      <x:c r="V110" s="512">
        <x:v>49</x:v>
      </x:c>
      <x:c r="W110" s="512">
        <x:v>33</x:v>
      </x:c>
      <x:c r="X110" s="512">
        <x:v>25</x:v>
      </x:c>
      <x:c r="Y110" s="512">
        <x:v>32</x:v>
      </x:c>
      <x:c r="Z110" s="512">
        <x:v>45</x:v>
      </x:c>
      <x:c r="AA110" s="636">
        <x:v>29</x:v>
      </x:c>
      <x:c r="AB110" s="512">
        <x:v>38</x:v>
      </x:c>
      <x:c r="AC110" s="512">
        <x:v>95</x:v>
      </x:c>
      <x:c r="AD110" s="512">
        <x:v>81</x:v>
      </x:c>
      <x:c r="AE110" s="512">
        <x:v>93</x:v>
      </x:c>
      <x:c r="AF110" s="512">
        <x:v>112</x:v>
      </x:c>
      <x:c r="AG110" s="512">
        <x:v>65</x:v>
      </x:c>
      <x:c r="AH110" s="512">
        <x:v>80</x:v>
      </x:c>
      <x:c r="AI110" s="512">
        <x:v>175</x:v>
      </x:c>
      <x:c r="AJ110" s="512">
        <x:v>154</x:v>
      </x:c>
      <x:c r="AK110" s="512">
        <x:v>73</x:v>
      </x:c>
      <x:c r="AL110" s="512">
        <x:v>111</x:v>
      </x:c>
      <x:c r="AM110" s="512">
        <x:v>41</x:v>
      </x:c>
      <x:c r="AN110" s="512"/>
      <x:c r="AO110" s="512"/>
      <x:c r="AP110" s="512"/>
      <x:c r="AQ110" s="512"/>
      <x:c r="AR110" s="512"/>
      <x:c r="AS110" s="512"/>
      <x:c r="AT110" s="512"/>
      <x:c r="AU110" s="512"/>
      <x:c r="AV110" s="512"/>
      <x:c r="AW110" s="512"/>
      <x:c r="AX110" s="512"/>
      <x:c r="AY110" s="512"/>
      <x:c r="AZ110" s="512"/>
      <x:c r="BA110" s="512"/>
      <x:c r="BB110" s="512"/>
      <x:c r="BC110" s="512"/>
      <x:c r="BD110" s="514"/>
    </x:row>
    <x:row r="111" ht="19" customHeight="1">
      <x:c r="B111" s="509">
        <x:v>47</x:v>
      </x:c>
      <x:c r="C111" s="519"/>
      <x:c r="D111" s="519"/>
      <x:c r="E111" s="519"/>
      <x:c r="F111" s="519"/>
      <x:c r="G111" s="519"/>
      <x:c r="H111" s="519"/>
      <x:c r="I111" s="519"/>
      <x:c r="J111" s="519"/>
      <x:c r="K111" s="519"/>
      <x:c r="L111" s="519"/>
      <x:c r="M111" s="519"/>
      <x:c r="N111" s="519"/>
      <x:c r="O111" s="519"/>
      <x:c r="P111" s="519"/>
      <x:c r="Q111" s="519"/>
      <x:c r="R111" s="513">
        <x:v>6</x:v>
      </x:c>
      <x:c r="S111" s="512">
        <x:v>15</x:v>
      </x:c>
      <x:c r="T111" s="513">
        <x:v>7</x:v>
      </x:c>
      <x:c r="U111" s="512">
        <x:v>9</x:v>
      </x:c>
      <x:c r="V111" s="512">
        <x:v>2</x:v>
      </x:c>
      <x:c r="W111" s="512">
        <x:v>2</x:v>
      </x:c>
      <x:c r="X111" s="512">
        <x:v>2</x:v>
      </x:c>
      <x:c r="Y111" s="512">
        <x:v>10</x:v>
      </x:c>
      <x:c r="Z111" s="512">
        <x:v>5</x:v>
      </x:c>
      <x:c r="AA111" s="636">
        <x:v>5</x:v>
      </x:c>
      <x:c r="AB111" s="512">
        <x:v>3</x:v>
      </x:c>
      <x:c r="AC111" s="512">
        <x:v>26</x:v>
      </x:c>
      <x:c r="AD111" s="512">
        <x:v>18</x:v>
      </x:c>
      <x:c r="AE111" s="512">
        <x:v>21</x:v>
      </x:c>
      <x:c r="AF111" s="512">
        <x:v>7</x:v>
      </x:c>
      <x:c r="AG111" s="512">
        <x:v>6</x:v>
      </x:c>
      <x:c r="AH111" s="512">
        <x:v>13</x:v>
      </x:c>
      <x:c r="AI111" s="512">
        <x:v>33</x:v>
      </x:c>
      <x:c r="AJ111" s="512">
        <x:v>6</x:v>
      </x:c>
      <x:c r="AK111" s="637"/>
      <x:c r="AL111" s="512">
        <x:v>5</x:v>
      </x:c>
      <x:c r="AM111" s="512">
        <x:v>108</x:v>
      </x:c>
      <x:c r="AN111" s="512"/>
      <x:c r="AO111" s="512"/>
      <x:c r="AP111" s="512"/>
      <x:c r="AQ111" s="512"/>
      <x:c r="AR111" s="512"/>
      <x:c r="AS111" s="512"/>
      <x:c r="AT111" s="512"/>
      <x:c r="AU111" s="512"/>
      <x:c r="AV111" s="512"/>
      <x:c r="AW111" s="512"/>
      <x:c r="AX111" s="512"/>
      <x:c r="AY111" s="512"/>
      <x:c r="AZ111" s="512"/>
      <x:c r="BA111" s="512"/>
      <x:c r="BB111" s="512"/>
      <x:c r="BC111" s="512"/>
      <x:c r="BD111" s="514"/>
    </x:row>
    <x:row r="112" ht="19" customHeight="1">
      <x:c r="B112" s="509">
        <x:v>48</x:v>
      </x:c>
      <x:c r="C112" s="519"/>
      <x:c r="D112" s="519"/>
      <x:c r="E112" s="519"/>
      <x:c r="F112" s="519"/>
      <x:c r="G112" s="519"/>
      <x:c r="H112" s="519"/>
      <x:c r="I112" s="519"/>
      <x:c r="J112" s="519"/>
      <x:c r="K112" s="519"/>
      <x:c r="L112" s="519"/>
      <x:c r="M112" s="519"/>
      <x:c r="N112" s="519"/>
      <x:c r="O112" s="519"/>
      <x:c r="P112" s="519"/>
      <x:c r="Q112" s="519"/>
      <x:c r="R112" s="519"/>
      <x:c r="S112" s="519"/>
      <x:c r="T112" s="513">
        <x:v>110</x:v>
      </x:c>
      <x:c r="U112" s="512">
        <x:v>94</x:v>
      </x:c>
      <x:c r="V112" s="512">
        <x:v>65</x:v>
      </x:c>
      <x:c r="W112" s="512">
        <x:v>57</x:v>
      </x:c>
      <x:c r="X112" s="512">
        <x:v>34</x:v>
      </x:c>
      <x:c r="Y112" s="512">
        <x:v>26</x:v>
      </x:c>
      <x:c r="Z112" s="512">
        <x:v>23</x:v>
      </x:c>
      <x:c r="AA112" s="636">
        <x:v>19</x:v>
      </x:c>
      <x:c r="AB112" s="512">
        <x:v>37</x:v>
      </x:c>
      <x:c r="AC112" s="512">
        <x:v>54</x:v>
      </x:c>
      <x:c r="AD112" s="512">
        <x:v>55</x:v>
      </x:c>
      <x:c r="AE112" s="512">
        <x:v>85</x:v>
      </x:c>
      <x:c r="AF112" s="512">
        <x:v>76</x:v>
      </x:c>
      <x:c r="AG112" s="512">
        <x:v>75</x:v>
      </x:c>
      <x:c r="AH112" s="512">
        <x:v>45</x:v>
      </x:c>
      <x:c r="AI112" s="512">
        <x:v>130</x:v>
      </x:c>
      <x:c r="AJ112" s="512">
        <x:v>73</x:v>
      </x:c>
      <x:c r="AK112" s="512">
        <x:v>51</x:v>
      </x:c>
      <x:c r="AL112" s="512">
        <x:v>80</x:v>
      </x:c>
      <x:c r="AM112" s="512">
        <x:v>110</x:v>
      </x:c>
      <x:c r="AN112" s="512"/>
      <x:c r="AO112" s="512"/>
      <x:c r="AP112" s="512"/>
      <x:c r="AQ112" s="512"/>
      <x:c r="AR112" s="512"/>
      <x:c r="AS112" s="512"/>
      <x:c r="AT112" s="512"/>
      <x:c r="AU112" s="512"/>
      <x:c r="AV112" s="512"/>
      <x:c r="AW112" s="512"/>
      <x:c r="AX112" s="512"/>
      <x:c r="AY112" s="512"/>
      <x:c r="AZ112" s="512"/>
      <x:c r="BA112" s="512"/>
      <x:c r="BB112" s="512"/>
      <x:c r="BC112" s="512"/>
      <x:c r="BD112" s="514"/>
    </x:row>
    <x:row r="113" ht="19" customHeight="1">
      <x:c r="B113" s="509">
        <x:v>49</x:v>
      </x:c>
      <x:c r="C113" s="519"/>
      <x:c r="D113" s="519"/>
      <x:c r="E113" s="519"/>
      <x:c r="F113" s="519"/>
      <x:c r="G113" s="519"/>
      <x:c r="H113" s="519"/>
      <x:c r="I113" s="519"/>
      <x:c r="J113" s="519"/>
      <x:c r="K113" s="519"/>
      <x:c r="L113" s="519"/>
      <x:c r="M113" s="519"/>
      <x:c r="N113" s="519"/>
      <x:c r="O113" s="519"/>
      <x:c r="P113" s="519"/>
      <x:c r="Q113" s="519"/>
      <x:c r="R113" s="519"/>
      <x:c r="S113" s="519"/>
      <x:c r="T113" s="513">
        <x:v>24</x:v>
      </x:c>
      <x:c r="U113" s="512">
        <x:v>64</x:v>
      </x:c>
      <x:c r="V113" s="512">
        <x:v>55</x:v>
      </x:c>
      <x:c r="W113" s="512">
        <x:v>64</x:v>
      </x:c>
      <x:c r="X113" s="512">
        <x:v>54</x:v>
      </x:c>
      <x:c r="Y113" s="512">
        <x:v>64</x:v>
      </x:c>
      <x:c r="Z113" s="512">
        <x:v>56</x:v>
      </x:c>
      <x:c r="AA113" s="636">
        <x:v>38</x:v>
      </x:c>
      <x:c r="AB113" s="512">
        <x:v>54</x:v>
      </x:c>
      <x:c r="AC113" s="512">
        <x:v>70</x:v>
      </x:c>
      <x:c r="AD113" s="512">
        <x:v>86</x:v>
      </x:c>
      <x:c r="AE113" s="512">
        <x:v>78</x:v>
      </x:c>
      <x:c r="AF113" s="512">
        <x:v>70</x:v>
      </x:c>
      <x:c r="AG113" s="512">
        <x:v>43</x:v>
      </x:c>
      <x:c r="AH113" s="512">
        <x:v>76</x:v>
      </x:c>
      <x:c r="AI113" s="512">
        <x:v>81</x:v>
      </x:c>
      <x:c r="AJ113" s="512">
        <x:v>138</x:v>
      </x:c>
      <x:c r="AK113" s="512">
        <x:v>80</x:v>
      </x:c>
      <x:c r="AL113" s="512">
        <x:v>109</x:v>
      </x:c>
      <x:c r="AM113" s="512">
        <x:v>128</x:v>
      </x:c>
      <x:c r="AN113" s="512"/>
      <x:c r="AO113" s="512"/>
      <x:c r="AP113" s="512"/>
      <x:c r="AQ113" s="512"/>
      <x:c r="AR113" s="512"/>
      <x:c r="AS113" s="512"/>
      <x:c r="AT113" s="512"/>
      <x:c r="AU113" s="512"/>
      <x:c r="AV113" s="512"/>
      <x:c r="AW113" s="512"/>
      <x:c r="AX113" s="512"/>
      <x:c r="AY113" s="512"/>
      <x:c r="AZ113" s="512"/>
      <x:c r="BA113" s="512"/>
      <x:c r="BB113" s="512"/>
      <x:c r="BC113" s="512"/>
      <x:c r="BD113" s="514"/>
    </x:row>
    <x:row r="114" ht="19" customHeight="1">
      <x:c r="B114" s="509">
        <x:v>50</x:v>
      </x:c>
      <x:c r="C114" s="519"/>
      <x:c r="D114" s="519"/>
      <x:c r="E114" s="519"/>
      <x:c r="F114" s="519"/>
      <x:c r="G114" s="519"/>
      <x:c r="H114" s="519"/>
      <x:c r="I114" s="519"/>
      <x:c r="J114" s="519"/>
      <x:c r="K114" s="519"/>
      <x:c r="L114" s="519"/>
      <x:c r="M114" s="519"/>
      <x:c r="N114" s="519"/>
      <x:c r="O114" s="519"/>
      <x:c r="P114" s="519"/>
      <x:c r="Q114" s="519"/>
      <x:c r="R114" s="519"/>
      <x:c r="S114" s="519"/>
      <x:c r="T114" s="519"/>
      <x:c r="U114" s="512">
        <x:v>36</x:v>
      </x:c>
      <x:c r="V114" s="512">
        <x:v>61</x:v>
      </x:c>
      <x:c r="W114" s="512">
        <x:v>54</x:v>
      </x:c>
      <x:c r="X114" s="512">
        <x:v>52</x:v>
      </x:c>
      <x:c r="Y114" s="512">
        <x:v>57</x:v>
      </x:c>
      <x:c r="Z114" s="512">
        <x:v>45</x:v>
      </x:c>
      <x:c r="AA114" s="636">
        <x:v>17</x:v>
      </x:c>
      <x:c r="AB114" s="512">
        <x:v>30</x:v>
      </x:c>
      <x:c r="AC114" s="512">
        <x:v>51</x:v>
      </x:c>
      <x:c r="AD114" s="512">
        <x:v>81</x:v>
      </x:c>
      <x:c r="AE114" s="512">
        <x:v>66</x:v>
      </x:c>
      <x:c r="AF114" s="512">
        <x:v>102</x:v>
      </x:c>
      <x:c r="AG114" s="512">
        <x:v>60</x:v>
      </x:c>
      <x:c r="AH114" s="512">
        <x:v>152</x:v>
      </x:c>
      <x:c r="AI114" s="512">
        <x:v>138</x:v>
      </x:c>
      <x:c r="AJ114" s="512">
        <x:v>226</x:v>
      </x:c>
      <x:c r="AK114" s="512">
        <x:v>145</x:v>
      </x:c>
      <x:c r="AL114" s="512">
        <x:v>132</x:v>
      </x:c>
      <x:c r="AM114" s="512">
        <x:v>47</x:v>
      </x:c>
      <x:c r="AN114" s="512"/>
      <x:c r="AO114" s="512"/>
      <x:c r="AP114" s="512"/>
      <x:c r="AQ114" s="512"/>
      <x:c r="AR114" s="512"/>
      <x:c r="AS114" s="512"/>
      <x:c r="AT114" s="512"/>
      <x:c r="AU114" s="512"/>
      <x:c r="AV114" s="512"/>
      <x:c r="AW114" s="512"/>
      <x:c r="AX114" s="512"/>
      <x:c r="AY114" s="512"/>
      <x:c r="AZ114" s="512"/>
      <x:c r="BA114" s="512"/>
      <x:c r="BB114" s="512"/>
      <x:c r="BC114" s="512"/>
      <x:c r="BD114" s="514"/>
    </x:row>
    <x:row r="115" ht="19" customHeight="1">
      <x:c r="B115" s="509">
        <x:v>51</x:v>
      </x:c>
      <x:c r="C115" s="519"/>
      <x:c r="D115" s="519"/>
      <x:c r="E115" s="519"/>
      <x:c r="F115" s="519"/>
      <x:c r="G115" s="519"/>
      <x:c r="H115" s="519"/>
      <x:c r="I115" s="519"/>
      <x:c r="J115" s="519"/>
      <x:c r="K115" s="519"/>
      <x:c r="L115" s="519"/>
      <x:c r="M115" s="519"/>
      <x:c r="N115" s="519"/>
      <x:c r="O115" s="519"/>
      <x:c r="P115" s="519"/>
      <x:c r="Q115" s="519"/>
      <x:c r="R115" s="519"/>
      <x:c r="S115" s="519"/>
      <x:c r="T115" s="519"/>
      <x:c r="U115" s="519"/>
      <x:c r="V115" s="512">
        <x:v>70</x:v>
      </x:c>
      <x:c r="W115" s="512">
        <x:v>67</x:v>
      </x:c>
      <x:c r="X115" s="512">
        <x:v>39</x:v>
      </x:c>
      <x:c r="Y115" s="512">
        <x:v>58</x:v>
      </x:c>
      <x:c r="Z115" s="512">
        <x:v>25</x:v>
      </x:c>
      <x:c r="AA115" s="636">
        <x:v>22</x:v>
      </x:c>
      <x:c r="AB115" s="512">
        <x:v>38</x:v>
      </x:c>
      <x:c r="AC115" s="512">
        <x:v>50</x:v>
      </x:c>
      <x:c r="AD115" s="512">
        <x:v>50</x:v>
      </x:c>
      <x:c r="AE115" s="512">
        <x:v>59</x:v>
      </x:c>
      <x:c r="AF115" s="512">
        <x:v>70</x:v>
      </x:c>
      <x:c r="AG115" s="512">
        <x:v>42</x:v>
      </x:c>
      <x:c r="AH115" s="512">
        <x:v>70</x:v>
      </x:c>
      <x:c r="AI115" s="512">
        <x:v>117</x:v>
      </x:c>
      <x:c r="AJ115" s="512">
        <x:v>132</x:v>
      </x:c>
      <x:c r="AK115" s="512">
        <x:v>82</x:v>
      </x:c>
      <x:c r="AL115" s="512">
        <x:v>111</x:v>
      </x:c>
      <x:c r="AM115" s="512">
        <x:v>44</x:v>
      </x:c>
      <x:c r="AN115" s="512"/>
      <x:c r="AO115" s="512"/>
      <x:c r="AP115" s="512"/>
      <x:c r="AQ115" s="512"/>
      <x:c r="AR115" s="512"/>
      <x:c r="AS115" s="512"/>
      <x:c r="AT115" s="512"/>
      <x:c r="AU115" s="512"/>
      <x:c r="AV115" s="512"/>
      <x:c r="AW115" s="512"/>
      <x:c r="AX115" s="512"/>
      <x:c r="AY115" s="512"/>
      <x:c r="AZ115" s="512"/>
      <x:c r="BA115" s="512"/>
      <x:c r="BB115" s="512"/>
      <x:c r="BC115" s="512"/>
      <x:c r="BD115" s="514"/>
    </x:row>
    <x:row r="116" ht="19" customHeight="1">
      <x:c r="B116" s="509">
        <x:v>52</x:v>
      </x:c>
      <x:c r="C116" s="519"/>
      <x:c r="D116" s="519"/>
      <x:c r="E116" s="519"/>
      <x:c r="F116" s="519"/>
      <x:c r="G116" s="519"/>
      <x:c r="H116" s="519"/>
      <x:c r="I116" s="519"/>
      <x:c r="J116" s="519"/>
      <x:c r="K116" s="519"/>
      <x:c r="L116" s="519"/>
      <x:c r="M116" s="519"/>
      <x:c r="N116" s="519"/>
      <x:c r="O116" s="519"/>
      <x:c r="P116" s="519"/>
      <x:c r="Q116" s="519"/>
      <x:c r="R116" s="519"/>
      <x:c r="S116" s="519"/>
      <x:c r="T116" s="519"/>
      <x:c r="U116" s="519"/>
      <x:c r="V116" s="512">
        <x:v>10</x:v>
      </x:c>
      <x:c r="W116" s="512">
        <x:v>100</x:v>
      </x:c>
      <x:c r="X116" s="512">
        <x:v>18</x:v>
      </x:c>
      <x:c r="Y116" s="512">
        <x:v>25</x:v>
      </x:c>
      <x:c r="Z116" s="512">
        <x:v>28</x:v>
      </x:c>
      <x:c r="AA116" s="636">
        <x:v>38</x:v>
      </x:c>
      <x:c r="AB116" s="512">
        <x:v>43</x:v>
      </x:c>
      <x:c r="AC116" s="512">
        <x:v>87</x:v>
      </x:c>
      <x:c r="AD116" s="512">
        <x:v>117</x:v>
      </x:c>
      <x:c r="AE116" s="512">
        <x:v>64</x:v>
      </x:c>
      <x:c r="AF116" s="512">
        <x:v>163</x:v>
      </x:c>
      <x:c r="AG116" s="512">
        <x:v>79</x:v>
      </x:c>
      <x:c r="AH116" s="512">
        <x:v>139</x:v>
      </x:c>
      <x:c r="AI116" s="512">
        <x:v>195</x:v>
      </x:c>
      <x:c r="AJ116" s="512">
        <x:v>221</x:v>
      </x:c>
      <x:c r="AK116" s="512">
        <x:v>84</x:v>
      </x:c>
      <x:c r="AL116" s="512">
        <x:v>65</x:v>
      </x:c>
      <x:c r="AM116" s="512">
        <x:v>47</x:v>
      </x:c>
      <x:c r="AN116" s="512"/>
      <x:c r="AO116" s="512"/>
      <x:c r="AP116" s="512"/>
      <x:c r="AQ116" s="512"/>
      <x:c r="AR116" s="512"/>
      <x:c r="AS116" s="512"/>
      <x:c r="AT116" s="512"/>
      <x:c r="AU116" s="512"/>
      <x:c r="AV116" s="512"/>
      <x:c r="AW116" s="512"/>
      <x:c r="AX116" s="512"/>
      <x:c r="AY116" s="512"/>
      <x:c r="AZ116" s="512"/>
      <x:c r="BA116" s="512"/>
      <x:c r="BB116" s="512"/>
      <x:c r="BC116" s="512"/>
      <x:c r="BD116" s="514"/>
    </x:row>
    <x:row r="117" ht="19" customHeight="1">
      <x:c r="B117" s="509">
        <x:v>53</x:v>
      </x:c>
      <x:c r="C117" s="519"/>
      <x:c r="D117" s="519"/>
      <x:c r="E117" s="519"/>
      <x:c r="F117" s="519"/>
      <x:c r="G117" s="519"/>
      <x:c r="H117" s="519"/>
      <x:c r="I117" s="519"/>
      <x:c r="J117" s="519"/>
      <x:c r="K117" s="519"/>
      <x:c r="L117" s="519"/>
      <x:c r="M117" s="519"/>
      <x:c r="N117" s="519"/>
      <x:c r="O117" s="519"/>
      <x:c r="P117" s="519"/>
      <x:c r="Q117" s="519"/>
      <x:c r="R117" s="519"/>
      <x:c r="S117" s="519"/>
      <x:c r="T117" s="519"/>
      <x:c r="U117" s="519"/>
      <x:c r="V117" s="512">
        <x:v>0</x:v>
      </x:c>
      <x:c r="W117" s="512">
        <x:v>31</x:v>
      </x:c>
      <x:c r="X117" s="512">
        <x:v>17</x:v>
      </x:c>
      <x:c r="Y117" s="512">
        <x:v>11</x:v>
      </x:c>
      <x:c r="Z117" s="512">
        <x:v>15</x:v>
      </x:c>
      <x:c r="AA117" s="636">
        <x:v>8</x:v>
      </x:c>
      <x:c r="AB117" s="512">
        <x:v>20</x:v>
      </x:c>
      <x:c r="AC117" s="512">
        <x:v>23</x:v>
      </x:c>
      <x:c r="AD117" s="512">
        <x:v>39</x:v>
      </x:c>
      <x:c r="AE117" s="512">
        <x:v>45</x:v>
      </x:c>
      <x:c r="AF117" s="512">
        <x:v>38</x:v>
      </x:c>
      <x:c r="AG117" s="512">
        <x:v>36</x:v>
      </x:c>
      <x:c r="AH117" s="512">
        <x:v>61</x:v>
      </x:c>
      <x:c r="AI117" s="512">
        <x:v>91</x:v>
      </x:c>
      <x:c r="AJ117" s="512">
        <x:v>74</x:v>
      </x:c>
      <x:c r="AK117" s="512">
        <x:v>44</x:v>
      </x:c>
      <x:c r="AL117" s="512">
        <x:v>82</x:v>
      </x:c>
      <x:c r="AM117" s="512">
        <x:v>85</x:v>
      </x:c>
      <x:c r="AN117" s="512"/>
      <x:c r="AO117" s="512"/>
      <x:c r="AP117" s="512"/>
      <x:c r="AQ117" s="512"/>
      <x:c r="AR117" s="512"/>
      <x:c r="AS117" s="512"/>
      <x:c r="AT117" s="512"/>
      <x:c r="AU117" s="512"/>
      <x:c r="AV117" s="512"/>
      <x:c r="AW117" s="512"/>
      <x:c r="AX117" s="512"/>
      <x:c r="AY117" s="512"/>
      <x:c r="AZ117" s="512"/>
      <x:c r="BA117" s="512"/>
      <x:c r="BB117" s="512"/>
      <x:c r="BC117" s="512"/>
      <x:c r="BD117" s="514"/>
    </x:row>
    <x:row r="118" ht="19" customHeight="1">
      <x:c r="B118" s="509">
        <x:v>54</x:v>
      </x:c>
      <x:c r="C118" s="638"/>
      <x:c r="D118" s="519"/>
      <x:c r="E118" s="519"/>
      <x:c r="F118" s="519"/>
      <x:c r="G118" s="519"/>
      <x:c r="H118" s="519"/>
      <x:c r="I118" s="519"/>
      <x:c r="J118" s="519"/>
      <x:c r="K118" s="519"/>
      <x:c r="L118" s="519"/>
      <x:c r="M118" s="519"/>
      <x:c r="N118" s="519"/>
      <x:c r="O118" s="519"/>
      <x:c r="P118" s="519"/>
      <x:c r="Q118" s="519"/>
      <x:c r="R118" s="519"/>
      <x:c r="S118" s="519"/>
      <x:c r="T118" s="519"/>
      <x:c r="U118" s="519"/>
      <x:c r="V118" s="512">
        <x:v>0</x:v>
      </x:c>
      <x:c r="W118" s="512">
        <x:v>0</x:v>
      </x:c>
      <x:c r="X118" s="512">
        <x:v>22</x:v>
      </x:c>
      <x:c r="Y118" s="512">
        <x:v>31</x:v>
      </x:c>
      <x:c r="Z118" s="512">
        <x:v>16</x:v>
      </x:c>
      <x:c r="AA118" s="636">
        <x:v>40</x:v>
      </x:c>
      <x:c r="AB118" s="512">
        <x:v>39</x:v>
      </x:c>
      <x:c r="AC118" s="512">
        <x:v>64</x:v>
      </x:c>
      <x:c r="AD118" s="512">
        <x:v>65</x:v>
      </x:c>
      <x:c r="AE118" s="512">
        <x:v>64</x:v>
      </x:c>
      <x:c r="AF118" s="512">
        <x:v>147</x:v>
      </x:c>
      <x:c r="AG118" s="512">
        <x:v>111</x:v>
      </x:c>
      <x:c r="AH118" s="512">
        <x:v>83</x:v>
      </x:c>
      <x:c r="AI118" s="512">
        <x:v>340</x:v>
      </x:c>
      <x:c r="AJ118" s="512">
        <x:v>213</x:v>
      </x:c>
      <x:c r="AK118" s="512">
        <x:v>76</x:v>
      </x:c>
      <x:c r="AL118" s="512">
        <x:v>156</x:v>
      </x:c>
      <x:c r="AM118" s="512">
        <x:v>55</x:v>
      </x:c>
      <x:c r="AN118" s="512"/>
      <x:c r="AO118" s="512"/>
      <x:c r="AP118" s="512"/>
      <x:c r="AQ118" s="512"/>
      <x:c r="AR118" s="512"/>
      <x:c r="AS118" s="512"/>
      <x:c r="AT118" s="512"/>
      <x:c r="AU118" s="512"/>
      <x:c r="AV118" s="512"/>
      <x:c r="AW118" s="512"/>
      <x:c r="AX118" s="512"/>
      <x:c r="AY118" s="512"/>
      <x:c r="AZ118" s="512"/>
      <x:c r="BA118" s="512"/>
      <x:c r="BB118" s="512"/>
      <x:c r="BC118" s="512"/>
      <x:c r="BD118" s="514"/>
    </x:row>
    <x:row r="119" ht="19" customHeight="1">
      <x:c r="B119" s="509">
        <x:v>55</x:v>
      </x:c>
      <x:c r="C119" s="639"/>
      <x:c r="D119" s="639"/>
      <x:c r="E119" s="639"/>
      <x:c r="F119" s="639"/>
      <x:c r="G119" s="639"/>
      <x:c r="H119" s="639"/>
      <x:c r="I119" s="639"/>
      <x:c r="J119" s="639"/>
      <x:c r="K119" s="639"/>
      <x:c r="L119" s="639"/>
      <x:c r="M119" s="639"/>
      <x:c r="N119" s="639"/>
      <x:c r="O119" s="639"/>
      <x:c r="P119" s="639"/>
      <x:c r="Q119" s="639"/>
      <x:c r="R119" s="639"/>
      <x:c r="S119" s="639"/>
      <x:c r="T119" s="639"/>
      <x:c r="U119" s="639"/>
      <x:c r="V119" s="639"/>
      <x:c r="W119" s="639"/>
      <x:c r="X119" s="639"/>
      <x:c r="Y119" s="639"/>
      <x:c r="Z119" s="639"/>
      <x:c r="AA119" s="639"/>
      <x:c r="AB119" s="512">
        <x:v>58</x:v>
      </x:c>
      <x:c r="AC119" s="512">
        <x:v>67</x:v>
      </x:c>
      <x:c r="AD119" s="512">
        <x:v>51</x:v>
      </x:c>
      <x:c r="AE119" s="512">
        <x:v>49</x:v>
      </x:c>
      <x:c r="AF119" s="512">
        <x:v>57</x:v>
      </x:c>
      <x:c r="AG119" s="512">
        <x:v>54</x:v>
      </x:c>
      <x:c r="AH119" s="512">
        <x:v>96</x:v>
      </x:c>
      <x:c r="AI119" s="512">
        <x:v>126</x:v>
      </x:c>
      <x:c r="AJ119" s="512">
        <x:v>141</x:v>
      </x:c>
      <x:c r="AK119" s="512">
        <x:v>61</x:v>
      </x:c>
      <x:c r="AL119" s="512">
        <x:v>77</x:v>
      </x:c>
      <x:c r="AM119" s="512">
        <x:v>44</x:v>
      </x:c>
      <x:c r="AN119" s="512"/>
      <x:c r="AO119" s="512"/>
      <x:c r="AP119" s="512"/>
      <x:c r="AQ119" s="512"/>
      <x:c r="AR119" s="512"/>
      <x:c r="AS119" s="512"/>
      <x:c r="AT119" s="512"/>
      <x:c r="AU119" s="512"/>
      <x:c r="AV119" s="512"/>
      <x:c r="AW119" s="512"/>
      <x:c r="AX119" s="512"/>
      <x:c r="AY119" s="512"/>
      <x:c r="AZ119" s="512"/>
      <x:c r="BA119" s="512"/>
      <x:c r="BB119" s="512"/>
      <x:c r="BC119" s="512"/>
      <x:c r="BD119" s="514"/>
    </x:row>
    <x:row r="120" ht="19" customHeight="1">
      <x:c r="B120" s="539">
        <x:v>56</x:v>
      </x:c>
      <x:c r="C120" s="639"/>
      <x:c r="D120" s="639"/>
      <x:c r="E120" s="639"/>
      <x:c r="F120" s="639"/>
      <x:c r="G120" s="639"/>
      <x:c r="H120" s="639"/>
      <x:c r="I120" s="639"/>
      <x:c r="J120" s="639"/>
      <x:c r="K120" s="639"/>
      <x:c r="L120" s="639"/>
      <x:c r="M120" s="639"/>
      <x:c r="N120" s="639"/>
      <x:c r="O120" s="639"/>
      <x:c r="P120" s="639"/>
      <x:c r="Q120" s="639"/>
      <x:c r="R120" s="639"/>
      <x:c r="S120" s="639"/>
      <x:c r="T120" s="639"/>
      <x:c r="U120" s="639"/>
      <x:c r="V120" s="639"/>
      <x:c r="W120" s="639"/>
      <x:c r="X120" s="639"/>
      <x:c r="Y120" s="639"/>
      <x:c r="Z120" s="639"/>
      <x:c r="AA120" s="639"/>
      <x:c r="AB120" s="543">
        <x:v>15</x:v>
      </x:c>
      <x:c r="AC120" s="543">
        <x:v>92</x:v>
      </x:c>
      <x:c r="AD120" s="543">
        <x:v>59</x:v>
      </x:c>
      <x:c r="AE120" s="543">
        <x:v>58</x:v>
      </x:c>
      <x:c r="AF120" s="512">
        <x:v>66</x:v>
      </x:c>
      <x:c r="AG120" s="512">
        <x:v>56</x:v>
      </x:c>
      <x:c r="AH120" s="512">
        <x:v>88</x:v>
      </x:c>
      <x:c r="AI120" s="512">
        <x:v>203</x:v>
      </x:c>
      <x:c r="AJ120" s="512">
        <x:v>168</x:v>
      </x:c>
      <x:c r="AK120" s="512">
        <x:v>50</x:v>
      </x:c>
      <x:c r="AL120" s="543">
        <x:v>81</x:v>
      </x:c>
      <x:c r="AM120" s="543"/>
      <x:c r="AN120" s="543"/>
      <x:c r="AO120" s="543"/>
      <x:c r="AP120" s="543"/>
      <x:c r="AQ120" s="543"/>
      <x:c r="AR120" s="543"/>
      <x:c r="AS120" s="543"/>
      <x:c r="AT120" s="543"/>
      <x:c r="AU120" s="543"/>
      <x:c r="AV120" s="543"/>
      <x:c r="AW120" s="543"/>
      <x:c r="AX120" s="543"/>
      <x:c r="AY120" s="543"/>
      <x:c r="AZ120" s="543"/>
      <x:c r="BA120" s="543"/>
      <x:c r="BB120" s="543"/>
      <x:c r="BC120" s="543"/>
      <x:c r="BD120" s="544"/>
    </x:row>
    <x:row r="121" ht="19" customHeight="1">
      <x:c r="B121" s="509">
        <x:v>57</x:v>
      </x:c>
      <x:c r="C121" s="519"/>
      <x:c r="D121" s="519"/>
      <x:c r="E121" s="519"/>
      <x:c r="F121" s="519"/>
      <x:c r="G121" s="519"/>
      <x:c r="H121" s="519"/>
      <x:c r="I121" s="519"/>
      <x:c r="J121" s="519"/>
      <x:c r="K121" s="519"/>
      <x:c r="L121" s="519"/>
      <x:c r="M121" s="519"/>
      <x:c r="N121" s="519"/>
      <x:c r="O121" s="519"/>
      <x:c r="P121" s="519"/>
      <x:c r="Q121" s="519"/>
      <x:c r="R121" s="519"/>
      <x:c r="S121" s="519"/>
      <x:c r="T121" s="519"/>
      <x:c r="U121" s="519"/>
      <x:c r="V121" s="519"/>
      <x:c r="W121" s="519"/>
      <x:c r="X121" s="519"/>
      <x:c r="Y121" s="519"/>
      <x:c r="Z121" s="519"/>
      <x:c r="AA121" s="519"/>
      <x:c r="AB121" s="519"/>
      <x:c r="AC121" s="519"/>
      <x:c r="AD121" s="519"/>
      <x:c r="AE121" s="519"/>
      <x:c r="AF121" s="519"/>
      <x:c r="AG121" s="519"/>
      <x:c r="AH121" s="512">
        <x:v>109</x:v>
      </x:c>
      <x:c r="AI121" s="512">
        <x:v>79</x:v>
      </x:c>
      <x:c r="AJ121" s="512">
        <x:v>51</x:v>
      </x:c>
      <x:c r="AK121" s="512">
        <x:v>20</x:v>
      </x:c>
      <x:c r="AL121" s="512">
        <x:v>59</x:v>
      </x:c>
      <x:c r="AM121" s="512"/>
      <x:c r="AN121" s="512"/>
      <x:c r="AO121" s="512"/>
      <x:c r="AP121" s="512"/>
      <x:c r="AQ121" s="512"/>
      <x:c r="AR121" s="512"/>
      <x:c r="AS121" s="512"/>
      <x:c r="AT121" s="512"/>
      <x:c r="AU121" s="512"/>
      <x:c r="AV121" s="512"/>
      <x:c r="AW121" s="512"/>
      <x:c r="AX121" s="512"/>
      <x:c r="AY121" s="512"/>
      <x:c r="AZ121" s="512"/>
      <x:c r="BA121" s="512"/>
      <x:c r="BB121" s="512"/>
      <x:c r="BC121" s="512"/>
      <x:c r="BD121" s="514"/>
    </x:row>
    <x:row r="122" ht="19" customHeight="1">
      <x:c r="B122" s="509">
        <x:v>58</x:v>
      </x:c>
      <x:c r="C122" s="519"/>
      <x:c r="D122" s="519"/>
      <x:c r="E122" s="519"/>
      <x:c r="F122" s="519"/>
      <x:c r="G122" s="519"/>
      <x:c r="H122" s="519"/>
      <x:c r="I122" s="519"/>
      <x:c r="J122" s="519"/>
      <x:c r="K122" s="519"/>
      <x:c r="L122" s="519"/>
      <x:c r="M122" s="519"/>
      <x:c r="N122" s="519"/>
      <x:c r="O122" s="519"/>
      <x:c r="P122" s="519"/>
      <x:c r="Q122" s="519"/>
      <x:c r="R122" s="519"/>
      <x:c r="S122" s="519"/>
      <x:c r="T122" s="519"/>
      <x:c r="U122" s="519"/>
      <x:c r="V122" s="519"/>
      <x:c r="W122" s="519"/>
      <x:c r="X122" s="519"/>
      <x:c r="Y122" s="519"/>
      <x:c r="Z122" s="519"/>
      <x:c r="AA122" s="519"/>
      <x:c r="AB122" s="519"/>
      <x:c r="AC122" s="519"/>
      <x:c r="AD122" s="519"/>
      <x:c r="AE122" s="519"/>
      <x:c r="AF122" s="519"/>
      <x:c r="AG122" s="519"/>
      <x:c r="AH122" s="519"/>
      <x:c r="AI122" s="512">
        <x:v>7</x:v>
      </x:c>
      <x:c r="AJ122" s="512">
        <x:v>0</x:v>
      </x:c>
      <x:c r="AK122" s="637"/>
      <x:c r="AL122" s="637">
        <x:v>0</x:v>
      </x:c>
      <x:c r="AM122" s="512"/>
      <x:c r="AN122" s="512"/>
      <x:c r="AO122" s="512"/>
      <x:c r="AP122" s="512"/>
      <x:c r="AQ122" s="512"/>
      <x:c r="AR122" s="512"/>
      <x:c r="AS122" s="512"/>
      <x:c r="AT122" s="512"/>
      <x:c r="AU122" s="512"/>
      <x:c r="AV122" s="512"/>
      <x:c r="AW122" s="512"/>
      <x:c r="AX122" s="512"/>
      <x:c r="AY122" s="512"/>
      <x:c r="AZ122" s="512"/>
      <x:c r="BA122" s="512"/>
      <x:c r="BB122" s="512"/>
      <x:c r="BC122" s="512"/>
      <x:c r="BD122" s="514"/>
    </x:row>
    <x:row r="123" ht="19" customHeight="1">
      <x:c r="B123" s="509">
        <x:v>59</x:v>
      </x:c>
      <x:c r="C123" s="519"/>
      <x:c r="D123" s="519"/>
      <x:c r="E123" s="519"/>
      <x:c r="F123" s="519"/>
      <x:c r="G123" s="519"/>
      <x:c r="H123" s="519"/>
      <x:c r="I123" s="519"/>
      <x:c r="J123" s="519"/>
      <x:c r="K123" s="519"/>
      <x:c r="L123" s="519"/>
      <x:c r="M123" s="519"/>
      <x:c r="N123" s="519"/>
      <x:c r="O123" s="519"/>
      <x:c r="P123" s="519"/>
      <x:c r="Q123" s="519"/>
      <x:c r="R123" s="519"/>
      <x:c r="S123" s="519"/>
      <x:c r="T123" s="519"/>
      <x:c r="U123" s="519"/>
      <x:c r="V123" s="519"/>
      <x:c r="W123" s="519"/>
      <x:c r="X123" s="519"/>
      <x:c r="Y123" s="519"/>
      <x:c r="Z123" s="519"/>
      <x:c r="AA123" s="519"/>
      <x:c r="AB123" s="519"/>
      <x:c r="AC123" s="519"/>
      <x:c r="AD123" s="519"/>
      <x:c r="AE123" s="519"/>
      <x:c r="AF123" s="519"/>
      <x:c r="AG123" s="519"/>
      <x:c r="AH123" s="519"/>
      <x:c r="AI123" s="519"/>
      <x:c r="AJ123" s="519"/>
      <x:c r="AK123" s="637"/>
      <x:c r="AL123" s="637">
        <x:v>0</x:v>
      </x:c>
      <x:c r="AM123" s="512"/>
      <x:c r="AN123" s="512"/>
      <x:c r="AO123" s="512"/>
      <x:c r="AP123" s="512"/>
      <x:c r="AQ123" s="512"/>
      <x:c r="AR123" s="512"/>
      <x:c r="AS123" s="512"/>
      <x:c r="AT123" s="512"/>
      <x:c r="AU123" s="512"/>
      <x:c r="AV123" s="512"/>
      <x:c r="AW123" s="512"/>
      <x:c r="AX123" s="512"/>
      <x:c r="AY123" s="512"/>
      <x:c r="AZ123" s="512"/>
      <x:c r="BA123" s="512"/>
      <x:c r="BB123" s="512"/>
      <x:c r="BC123" s="512"/>
      <x:c r="BD123" s="514"/>
    </x:row>
    <x:row r="124" ht="19" customHeight="1">
      <x:c r="B124" s="509">
        <x:v>60</x:v>
      </x:c>
      <x:c r="C124" s="519"/>
      <x:c r="D124" s="519"/>
      <x:c r="E124" s="519"/>
      <x:c r="F124" s="519"/>
      <x:c r="G124" s="519"/>
      <x:c r="H124" s="519"/>
      <x:c r="I124" s="519"/>
      <x:c r="J124" s="519"/>
      <x:c r="K124" s="519"/>
      <x:c r="L124" s="519"/>
      <x:c r="M124" s="519"/>
      <x:c r="N124" s="519"/>
      <x:c r="O124" s="519"/>
      <x:c r="P124" s="519"/>
      <x:c r="Q124" s="519"/>
      <x:c r="R124" s="519"/>
      <x:c r="S124" s="519"/>
      <x:c r="T124" s="519"/>
      <x:c r="U124" s="519"/>
      <x:c r="V124" s="519"/>
      <x:c r="W124" s="519"/>
      <x:c r="X124" s="519"/>
      <x:c r="Y124" s="519"/>
      <x:c r="Z124" s="519"/>
      <x:c r="AA124" s="519"/>
      <x:c r="AB124" s="519"/>
      <x:c r="AC124" s="519"/>
      <x:c r="AD124" s="519"/>
      <x:c r="AE124" s="519"/>
      <x:c r="AF124" s="519"/>
      <x:c r="AG124" s="519"/>
      <x:c r="AH124" s="519"/>
      <x:c r="AI124" s="519"/>
      <x:c r="AJ124" s="519"/>
      <x:c r="AK124" s="637"/>
      <x:c r="AL124" s="637"/>
      <x:c r="AM124" s="512"/>
      <x:c r="AN124" s="512"/>
      <x:c r="AO124" s="512"/>
      <x:c r="AP124" s="512"/>
      <x:c r="AQ124" s="512"/>
      <x:c r="AR124" s="512"/>
      <x:c r="AS124" s="512"/>
      <x:c r="AT124" s="512"/>
      <x:c r="AU124" s="512"/>
      <x:c r="AV124" s="512"/>
      <x:c r="AW124" s="512"/>
      <x:c r="AX124" s="512"/>
      <x:c r="AY124" s="512"/>
      <x:c r="AZ124" s="512"/>
      <x:c r="BA124" s="512"/>
      <x:c r="BB124" s="512"/>
      <x:c r="BC124" s="512"/>
      <x:c r="BD124" s="514"/>
    </x:row>
    <x:row r="125" ht="19" customHeight="1">
      <x:c r="B125" s="509">
        <x:v>61</x:v>
      </x:c>
      <x:c r="C125" s="640"/>
      <x:c r="D125" s="640"/>
      <x:c r="E125" s="640"/>
      <x:c r="F125" s="640"/>
      <x:c r="G125" s="640"/>
      <x:c r="H125" s="640"/>
      <x:c r="I125" s="640"/>
      <x:c r="J125" s="640"/>
      <x:c r="K125" s="640"/>
      <x:c r="L125" s="640"/>
      <x:c r="M125" s="640"/>
      <x:c r="N125" s="640"/>
      <x:c r="O125" s="640"/>
      <x:c r="P125" s="640"/>
      <x:c r="Q125" s="640"/>
      <x:c r="R125" s="640"/>
      <x:c r="S125" s="640"/>
      <x:c r="T125" s="640"/>
      <x:c r="U125" s="640"/>
      <x:c r="V125" s="640"/>
      <x:c r="W125" s="640"/>
      <x:c r="X125" s="640"/>
      <x:c r="Y125" s="640"/>
      <x:c r="Z125" s="640"/>
      <x:c r="AA125" s="640"/>
      <x:c r="AB125" s="640"/>
      <x:c r="AC125" s="640"/>
      <x:c r="AD125" s="640"/>
      <x:c r="AE125" s="640"/>
      <x:c r="AF125" s="640"/>
      <x:c r="AG125" s="640"/>
      <x:c r="AH125" s="640"/>
      <x:c r="AI125" s="640"/>
      <x:c r="AJ125" s="640"/>
      <x:c r="AK125" s="641"/>
      <x:c r="AL125" s="641"/>
      <x:c r="AM125" s="642"/>
      <x:c r="AN125" s="642"/>
      <x:c r="AO125" s="642"/>
      <x:c r="AP125" s="642"/>
      <x:c r="AQ125" s="642"/>
      <x:c r="AR125" s="642"/>
      <x:c r="AS125" s="642"/>
      <x:c r="AT125" s="642"/>
      <x:c r="AU125" s="642"/>
      <x:c r="AV125" s="642"/>
      <x:c r="AW125" s="642"/>
      <x:c r="AX125" s="642"/>
      <x:c r="AY125" s="642"/>
      <x:c r="AZ125" s="642"/>
      <x:c r="BA125" s="642"/>
      <x:c r="BB125" s="642"/>
      <x:c r="BC125" s="642"/>
      <x:c r="BD125" s="643"/>
    </x:row>
    <x:row r="126">
      <x:c r="B126" s="595"/>
      <x:c r="C126" s="644" t="n">
        <x:f>SUM(C66:C125)</x:f>
        <x:v>795</x:v>
      </x:c>
      <x:c r="D126" s="644" t="n">
        <x:f t="shared" ref="D126:AQ126" si="2">SUM(D66:D125)</x:f>
        <x:v>745</x:v>
      </x:c>
      <x:c r="E126" s="644">
        <x:f t="shared" si="2"/>
        <x:v>1182</x:v>
      </x:c>
      <x:c r="F126" s="644">
        <x:f t="shared" si="2"/>
        <x:v>1407</x:v>
      </x:c>
      <x:c r="G126" s="644">
        <x:f t="shared" si="2"/>
        <x:v>1722</x:v>
      </x:c>
      <x:c r="H126" s="644">
        <x:f t="shared" si="2"/>
        <x:v>1317</x:v>
      </x:c>
      <x:c r="I126" s="644">
        <x:f t="shared" si="2"/>
        <x:v>989</x:v>
      </x:c>
      <x:c r="J126" s="644">
        <x:f t="shared" si="2"/>
        <x:v>1126</x:v>
      </x:c>
      <x:c r="K126" s="644">
        <x:f t="shared" si="2"/>
        <x:v>1171</x:v>
      </x:c>
      <x:c r="L126" s="644">
        <x:f t="shared" si="2"/>
        <x:v>1703</x:v>
      </x:c>
      <x:c r="M126" s="644">
        <x:f t="shared" si="2"/>
        <x:v>1710</x:v>
      </x:c>
      <x:c r="N126" s="644">
        <x:f t="shared" si="2"/>
        <x:v>1456</x:v>
      </x:c>
      <x:c r="O126" s="644">
        <x:f t="shared" si="2"/>
        <x:v>1397</x:v>
      </x:c>
      <x:c r="P126" s="644">
        <x:f t="shared" si="2"/>
        <x:v>2000</x:v>
      </x:c>
      <x:c r="Q126" s="644">
        <x:f t="shared" si="2"/>
        <x:v>2301</x:v>
      </x:c>
      <x:c r="R126" s="644">
        <x:f t="shared" si="2"/>
        <x:v>1980</x:v>
      </x:c>
      <x:c r="S126" s="644">
        <x:f t="shared" si="2"/>
        <x:v>2208</x:v>
      </x:c>
      <x:c r="T126" s="644">
        <x:f t="shared" si="2"/>
        <x:v>1835</x:v>
      </x:c>
      <x:c r="U126" s="644">
        <x:f t="shared" si="2"/>
        <x:v>1283</x:v>
      </x:c>
      <x:c r="V126" s="644">
        <x:f t="shared" si="2"/>
        <x:v>1302</x:v>
      </x:c>
      <x:c r="W126" s="644">
        <x:f t="shared" si="2"/>
        <x:v>1490</x:v>
      </x:c>
      <x:c r="X126" s="644">
        <x:f t="shared" si="2"/>
        <x:v>968</x:v>
      </x:c>
      <x:c r="Y126" s="644">
        <x:f t="shared" si="2"/>
        <x:v>1269</x:v>
      </x:c>
      <x:c r="Z126" s="644">
        <x:f t="shared" si="2"/>
        <x:v>1034</x:v>
      </x:c>
      <x:c r="AA126" s="644">
        <x:f t="shared" si="2"/>
        <x:v>934</x:v>
      </x:c>
      <x:c r="AB126" s="644">
        <x:f t="shared" si="2"/>
        <x:v>1398</x:v>
      </x:c>
      <x:c r="AC126" s="644">
        <x:f t="shared" si="2"/>
        <x:v>2075</x:v>
      </x:c>
      <x:c r="AD126" s="644">
        <x:f t="shared" si="2"/>
        <x:v>2452</x:v>
      </x:c>
      <x:c r="AE126" s="644">
        <x:f t="shared" si="2"/>
        <x:v>2464</x:v>
      </x:c>
      <x:c r="AF126" s="644">
        <x:f t="shared" si="2"/>
        <x:v>2800</x:v>
      </x:c>
      <x:c r="AG126" s="644">
        <x:f t="shared" si="2"/>
        <x:v>1765</x:v>
      </x:c>
      <x:c r="AH126" s="644">
        <x:f t="shared" si="2"/>
        <x:v>3288</x:v>
      </x:c>
      <x:c r="AI126" s="644">
        <x:f t="shared" si="2"/>
        <x:v>5280</x:v>
      </x:c>
      <x:c r="AJ126" s="644">
        <x:f t="shared" si="2"/>
        <x:v>5394</x:v>
      </x:c>
      <x:c r="AK126" s="644">
        <x:f t="shared" si="2"/>
        <x:v>2363</x:v>
      </x:c>
      <x:c r="AL126" s="644">
        <x:f t="shared" si="2"/>
        <x:v>4137</x:v>
      </x:c>
      <x:c r="AM126" s="644">
        <x:f t="shared" si="2"/>
        <x:v>2923</x:v>
      </x:c>
      <x:c r="AN126" s="644">
        <x:f t="shared" si="2"/>
        <x:v>0</x:v>
      </x:c>
      <x:c r="AO126" s="644">
        <x:f t="shared" si="2"/>
        <x:v>0</x:v>
      </x:c>
      <x:c r="AP126" s="644">
        <x:f t="shared" si="2"/>
        <x:v>0</x:v>
      </x:c>
      <x:c r="AQ126" s="644">
        <x:f t="shared" si="2"/>
        <x:v>0</x:v>
      </x:c>
      <x:c r="AR126" s="644" t="n">
        <x:f t="shared" ref="AR126:BA126" si="3">SUM(AR66:AR125)</x:f>
        <x:v>0</x:v>
      </x:c>
      <x:c r="AS126" s="644">
        <x:f t="shared" si="3"/>
        <x:v>0</x:v>
      </x:c>
      <x:c r="AT126" s="644">
        <x:f t="shared" si="3"/>
        <x:v>0</x:v>
      </x:c>
      <x:c r="AU126" s="644">
        <x:f t="shared" si="3"/>
        <x:v>0</x:v>
      </x:c>
      <x:c r="AV126" s="644">
        <x:f t="shared" si="3"/>
        <x:v>0</x:v>
      </x:c>
      <x:c r="AW126" s="644">
        <x:f t="shared" si="3"/>
        <x:v>0</x:v>
      </x:c>
      <x:c r="AX126" s="644">
        <x:f t="shared" si="3"/>
        <x:v>0</x:v>
      </x:c>
      <x:c r="AY126" s="644">
        <x:f t="shared" si="3"/>
        <x:v>0</x:v>
      </x:c>
      <x:c r="AZ126" s="644">
        <x:f t="shared" si="3"/>
        <x:v>0</x:v>
      </x:c>
      <x:c r="BA126" s="644">
        <x:f t="shared" si="3"/>
        <x:v>0</x:v>
      </x:c>
      <x:c r="BB126" s="644" t="n">
        <x:f t="shared" ref="BB126:BD126" si="4">SUM(BB66:BB125)</x:f>
        <x:v>0</x:v>
      </x:c>
      <x:c r="BC126" s="644">
        <x:f t="shared" si="4"/>
        <x:v>0</x:v>
      </x:c>
      <x:c r="BD126" s="644">
        <x:f t="shared" si="4"/>
        <x:v>0</x:v>
      </x:c>
    </x:row>
    <x:row r="128">
      <x:c r="B128" s="658" t="s">
        <x:v>1</x:v>
      </x:c>
      <x:c r="C128" s="653" t="n">
        <x:f>SUM(C98,C66:C69)</x:f>
        <x:v>102</x:v>
      </x:c>
      <x:c r="D128" s="653" t="n">
        <x:f t="shared" ref="D128:Y128" si="5">SUM(D98,D66:D69)</x:f>
        <x:v>99</x:v>
      </x:c>
      <x:c r="E128" s="653">
        <x:f t="shared" si="5"/>
        <x:v>130</x:v>
      </x:c>
      <x:c r="F128" s="653">
        <x:f t="shared" si="5"/>
        <x:v>172</x:v>
      </x:c>
      <x:c r="G128" s="653">
        <x:f t="shared" si="5"/>
        <x:v>239</x:v>
      </x:c>
      <x:c r="H128" s="653">
        <x:f t="shared" si="5"/>
        <x:v>159</x:v>
      </x:c>
      <x:c r="I128" s="653">
        <x:f t="shared" si="5"/>
        <x:v>120</x:v>
      </x:c>
      <x:c r="J128" s="653">
        <x:f t="shared" si="5"/>
        <x:v>116</x:v>
      </x:c>
      <x:c r="K128" s="653">
        <x:f t="shared" si="5"/>
        <x:v>110</x:v>
      </x:c>
      <x:c r="L128" s="653">
        <x:f t="shared" si="5"/>
        <x:v>136</x:v>
      </x:c>
      <x:c r="M128" s="653">
        <x:f t="shared" si="5"/>
        <x:v>136</x:v>
      </x:c>
      <x:c r="N128" s="653">
        <x:f t="shared" si="5"/>
        <x:v>143</x:v>
      </x:c>
      <x:c r="O128" s="653">
        <x:f t="shared" si="5"/>
        <x:v>82</x:v>
      </x:c>
      <x:c r="P128" s="653">
        <x:f t="shared" si="5"/>
        <x:v>107</x:v>
      </x:c>
      <x:c r="Q128" s="653">
        <x:f t="shared" si="5"/>
        <x:v>113</x:v>
      </x:c>
      <x:c r="R128" s="653">
        <x:f t="shared" si="5"/>
        <x:v>98</x:v>
      </x:c>
      <x:c r="S128" s="653">
        <x:f t="shared" si="5"/>
        <x:v>129</x:v>
      </x:c>
      <x:c r="T128" s="653">
        <x:f t="shared" si="5"/>
        <x:v>97</x:v>
      </x:c>
      <x:c r="U128" s="653">
        <x:f t="shared" si="5"/>
        <x:v>72</x:v>
      </x:c>
      <x:c r="V128" s="653">
        <x:f t="shared" si="5"/>
        <x:v>69</x:v>
      </x:c>
      <x:c r="W128" s="653">
        <x:f t="shared" si="5"/>
        <x:v>66</x:v>
      </x:c>
      <x:c r="X128" s="653">
        <x:f t="shared" si="5"/>
        <x:v>41</x:v>
      </x:c>
      <x:c r="Y128" s="653">
        <x:f t="shared" si="5"/>
        <x:v>80</x:v>
      </x:c>
      <x:c r="Z128" s="653"/>
      <x:c r="AA128" s="653"/>
      <x:c r="AB128" s="653"/>
      <x:c r="AC128" s="653"/>
      <x:c r="AD128" s="498"/>
      <x:c r="AE128" s="498"/>
      <x:c r="AF128" s="498"/>
      <x:c r="AG128" s="498"/>
      <x:c r="AH128" s="498"/>
      <x:c r="AI128" s="498"/>
      <x:c r="AJ128" s="498"/>
      <x:c r="AK128" s="498"/>
      <x:c r="AL128" s="498"/>
      <x:c r="AM128" s="498"/>
      <x:c r="AN128" s="498"/>
      <x:c r="AO128" s="498"/>
      <x:c r="AP128" s="498"/>
      <x:c r="AQ128" s="498"/>
      <x:c r="AR128" s="498"/>
      <x:c r="AS128" s="498"/>
      <x:c r="AT128" s="498"/>
      <x:c r="AU128" s="498"/>
      <x:c r="AV128" s="498"/>
      <x:c r="AW128" s="498"/>
      <x:c r="AX128" s="498"/>
      <x:c r="AY128" s="498"/>
      <x:c r="AZ128" s="498"/>
      <x:c r="BA128" s="498"/>
      <x:c r="BB128" s="498"/>
      <x:c r="BC128" s="498"/>
      <x:c r="BD128" s="498"/>
    </x:row>
    <x:row r="129">
      <x:c r="B129" s="658" t="s">
        <x:v>2</x:v>
      </x:c>
      <x:c r="C129" s="653" t="n">
        <x:f>SUM(C74,C76,C77:C79,C89,C102,C109)</x:f>
        <x:v>111</x:v>
      </x:c>
      <x:c r="D129" s="653" t="n">
        <x:f t="shared" ref="D129:Y129" si="6">SUM(D74,D76,D77:D79,D89,D102,D109)</x:f>
        <x:v>142</x:v>
      </x:c>
      <x:c r="E129" s="653">
        <x:f t="shared" si="6"/>
        <x:v>216</x:v>
      </x:c>
      <x:c r="F129" s="653">
        <x:f t="shared" si="6"/>
        <x:v>232</x:v>
      </x:c>
      <x:c r="G129" s="653">
        <x:f t="shared" si="6"/>
        <x:v>251</x:v>
      </x:c>
      <x:c r="H129" s="653">
        <x:f t="shared" si="6"/>
        <x:v>238</x:v>
      </x:c>
      <x:c r="I129" s="653">
        <x:f t="shared" si="6"/>
        <x:v>155</x:v>
      </x:c>
      <x:c r="J129" s="653">
        <x:f t="shared" si="6"/>
        <x:v>151</x:v>
      </x:c>
      <x:c r="K129" s="653">
        <x:f t="shared" si="6"/>
        <x:v>120</x:v>
      </x:c>
      <x:c r="L129" s="653">
        <x:f t="shared" si="6"/>
        <x:v>202</x:v>
      </x:c>
      <x:c r="M129" s="653">
        <x:f t="shared" si="6"/>
        <x:v>181</x:v>
      </x:c>
      <x:c r="N129" s="653">
        <x:f t="shared" si="6"/>
        <x:v>156</x:v>
      </x:c>
      <x:c r="O129" s="653">
        <x:f t="shared" si="6"/>
        <x:v>144</x:v>
      </x:c>
      <x:c r="P129" s="653">
        <x:f t="shared" si="6"/>
        <x:v>156</x:v>
      </x:c>
      <x:c r="Q129" s="653">
        <x:f t="shared" si="6"/>
        <x:v>197</x:v>
      </x:c>
      <x:c r="R129" s="653">
        <x:f t="shared" si="6"/>
        <x:v>133</x:v>
      </x:c>
      <x:c r="S129" s="653">
        <x:f t="shared" si="6"/>
        <x:v>193</x:v>
      </x:c>
      <x:c r="T129" s="653">
        <x:f t="shared" si="6"/>
        <x:v>128</x:v>
      </x:c>
      <x:c r="U129" s="653">
        <x:f t="shared" si="6"/>
        <x:v>83</x:v>
      </x:c>
      <x:c r="V129" s="653">
        <x:f t="shared" si="6"/>
        <x:v>92</x:v>
      </x:c>
      <x:c r="W129" s="653">
        <x:f t="shared" si="6"/>
        <x:v>88</x:v>
      </x:c>
      <x:c r="X129" s="653">
        <x:f t="shared" si="6"/>
        <x:v>33</x:v>
      </x:c>
      <x:c r="Y129" s="653">
        <x:f t="shared" si="6"/>
        <x:v>55</x:v>
      </x:c>
      <x:c r="Z129" s="653"/>
      <x:c r="AA129" s="653"/>
      <x:c r="AB129" s="653"/>
      <x:c r="AC129" s="653"/>
      <x:c r="AD129" s="498"/>
      <x:c r="AE129" s="498"/>
      <x:c r="AF129" s="498"/>
      <x:c r="AG129" s="498"/>
      <x:c r="AH129" s="498"/>
      <x:c r="AI129" s="498"/>
      <x:c r="AJ129" s="498"/>
      <x:c r="AK129" s="498"/>
      <x:c r="AL129" s="498"/>
      <x:c r="AM129" s="498"/>
      <x:c r="AN129" s="498"/>
      <x:c r="AO129" s="498"/>
      <x:c r="AP129" s="498"/>
      <x:c r="AQ129" s="498"/>
      <x:c r="AR129" s="498"/>
      <x:c r="AS129" s="498"/>
      <x:c r="AT129" s="498"/>
      <x:c r="AU129" s="498"/>
      <x:c r="AV129" s="498"/>
      <x:c r="AW129" s="498"/>
      <x:c r="AX129" s="498"/>
      <x:c r="AY129" s="498"/>
      <x:c r="AZ129" s="498"/>
      <x:c r="BA129" s="498"/>
      <x:c r="BB129" s="498"/>
      <x:c r="BC129" s="498"/>
      <x:c r="BD129" s="498"/>
    </x:row>
    <x:row r="130">
      <x:c r="B130" s="658" t="s">
        <x:v>3</x:v>
      </x:c>
      <x:c r="C130" s="653" t="n">
        <x:f>SUM(C80,C84,C93,C108,C111,C115)</x:f>
        <x:v>84</x:v>
      </x:c>
      <x:c r="D130" s="653" t="n">
        <x:f t="shared" ref="D130:Y130" si="7">SUM(D80,D84,D93,D108,D111,D115)</x:f>
        <x:v>58</x:v>
      </x:c>
      <x:c r="E130" s="653">
        <x:f t="shared" si="7"/>
        <x:v>97</x:v>
      </x:c>
      <x:c r="F130" s="653">
        <x:f t="shared" si="7"/>
        <x:v>105</x:v>
      </x:c>
      <x:c r="G130" s="653">
        <x:f t="shared" si="7"/>
        <x:v>135</x:v>
      </x:c>
      <x:c r="H130" s="653">
        <x:f t="shared" si="7"/>
        <x:v>128</x:v>
      </x:c>
      <x:c r="I130" s="653">
        <x:f t="shared" si="7"/>
        <x:v>88</x:v>
      </x:c>
      <x:c r="J130" s="653">
        <x:f t="shared" si="7"/>
        <x:v>84</x:v>
      </x:c>
      <x:c r="K130" s="653">
        <x:f t="shared" si="7"/>
        <x:v>112</x:v>
      </x:c>
      <x:c r="L130" s="653">
        <x:f t="shared" si="7"/>
        <x:v>175</x:v>
      </x:c>
      <x:c r="M130" s="653">
        <x:f t="shared" si="7"/>
        <x:v>157</x:v>
      </x:c>
      <x:c r="N130" s="653">
        <x:f t="shared" si="7"/>
        <x:v>103</x:v>
      </x:c>
      <x:c r="O130" s="653">
        <x:f t="shared" si="7"/>
        <x:v>66</x:v>
      </x:c>
      <x:c r="P130" s="653">
        <x:f t="shared" si="7"/>
        <x:v>81</x:v>
      </x:c>
      <x:c r="Q130" s="653">
        <x:f t="shared" si="7"/>
        <x:v>88</x:v>
      </x:c>
      <x:c r="R130" s="653">
        <x:f t="shared" si="7"/>
        <x:v>102</x:v>
      </x:c>
      <x:c r="S130" s="653">
        <x:f t="shared" si="7"/>
        <x:v>111</x:v>
      </x:c>
      <x:c r="T130" s="653">
        <x:f t="shared" si="7"/>
        <x:v>55</x:v>
      </x:c>
      <x:c r="U130" s="653">
        <x:f t="shared" si="7"/>
        <x:v>75</x:v>
      </x:c>
      <x:c r="V130" s="653">
        <x:f t="shared" si="7"/>
        <x:v>124</x:v>
      </x:c>
      <x:c r="W130" s="653">
        <x:f t="shared" si="7"/>
        <x:v>130</x:v>
      </x:c>
      <x:c r="X130" s="653">
        <x:f t="shared" si="7"/>
        <x:v>78</x:v>
      </x:c>
      <x:c r="Y130" s="653">
        <x:f t="shared" si="7"/>
        <x:v>103</x:v>
      </x:c>
      <x:c r="Z130" s="653"/>
      <x:c r="AA130" s="653"/>
      <x:c r="AB130" s="653"/>
      <x:c r="AC130" s="653"/>
      <x:c r="AD130" s="498"/>
      <x:c r="AE130" s="498"/>
      <x:c r="AF130" s="498"/>
      <x:c r="AG130" s="498"/>
      <x:c r="AH130" s="498"/>
      <x:c r="AI130" s="498"/>
      <x:c r="AJ130" s="498"/>
      <x:c r="AK130" s="498"/>
      <x:c r="AL130" s="498"/>
      <x:c r="AM130" s="498"/>
      <x:c r="AN130" s="498"/>
      <x:c r="AO130" s="498"/>
      <x:c r="AP130" s="498"/>
      <x:c r="AQ130" s="498"/>
      <x:c r="AR130" s="498"/>
      <x:c r="AS130" s="498"/>
      <x:c r="AT130" s="498"/>
      <x:c r="AU130" s="498"/>
      <x:c r="AV130" s="498"/>
      <x:c r="AW130" s="498"/>
      <x:c r="AX130" s="498"/>
      <x:c r="AY130" s="498"/>
      <x:c r="AZ130" s="498"/>
      <x:c r="BA130" s="498"/>
      <x:c r="BB130" s="498"/>
      <x:c r="BC130" s="498"/>
      <x:c r="BD130" s="498"/>
    </x:row>
    <x:row r="131">
      <x:c r="B131" s="658" t="s">
        <x:v>4</x:v>
      </x:c>
      <x:c r="C131" s="653" t="n">
        <x:f>SUM(C70,C72,C91,C99,C97,C103,C114)</x:f>
        <x:v>125</x:v>
      </x:c>
      <x:c r="D131" s="653" t="n">
        <x:f t="shared" ref="D131:Y131" si="8">SUM(D70,D72,D91,D99,D97,D103,D114)</x:f>
        <x:v>125</x:v>
      </x:c>
      <x:c r="E131" s="653">
        <x:f t="shared" si="8"/>
        <x:v>188</x:v>
      </x:c>
      <x:c r="F131" s="653">
        <x:f t="shared" si="8"/>
        <x:v>276</x:v>
      </x:c>
      <x:c r="G131" s="653">
        <x:f t="shared" si="8"/>
        <x:v>325</x:v>
      </x:c>
      <x:c r="H131" s="653">
        <x:f t="shared" si="8"/>
        <x:v>208</x:v>
      </x:c>
      <x:c r="I131" s="653">
        <x:f t="shared" si="8"/>
        <x:v>168</x:v>
      </x:c>
      <x:c r="J131" s="653">
        <x:f t="shared" si="8"/>
        <x:v>197</x:v>
      </x:c>
      <x:c r="K131" s="653">
        <x:f t="shared" si="8"/>
        <x:v>194</x:v>
      </x:c>
      <x:c r="L131" s="653">
        <x:f t="shared" si="8"/>
        <x:v>271</x:v>
      </x:c>
      <x:c r="M131" s="653">
        <x:f t="shared" si="8"/>
        <x:v>262</x:v>
      </x:c>
      <x:c r="N131" s="653">
        <x:f t="shared" si="8"/>
        <x:v>174</x:v>
      </x:c>
      <x:c r="O131" s="653">
        <x:f t="shared" si="8"/>
        <x:v>124</x:v>
      </x:c>
      <x:c r="P131" s="653">
        <x:f t="shared" si="8"/>
        <x:v>234</x:v>
      </x:c>
      <x:c r="Q131" s="653">
        <x:f t="shared" si="8"/>
        <x:v>307</x:v>
      </x:c>
      <x:c r="R131" s="653">
        <x:f t="shared" si="8"/>
        <x:v>233</x:v>
      </x:c>
      <x:c r="S131" s="653">
        <x:f t="shared" si="8"/>
        <x:v>248</x:v>
      </x:c>
      <x:c r="T131" s="653">
        <x:f t="shared" si="8"/>
        <x:v>190</x:v>
      </x:c>
      <x:c r="U131" s="653">
        <x:f t="shared" si="8"/>
        <x:v>193</x:v>
      </x:c>
      <x:c r="V131" s="653">
        <x:f t="shared" si="8"/>
        <x:v>209</x:v>
      </x:c>
      <x:c r="W131" s="653">
        <x:f t="shared" si="8"/>
        <x:v>257</x:v>
      </x:c>
      <x:c r="X131" s="653">
        <x:f t="shared" si="8"/>
        <x:v>212</x:v>
      </x:c>
      <x:c r="Y131" s="653">
        <x:f t="shared" si="8"/>
        <x:v>229</x:v>
      </x:c>
      <x:c r="Z131" s="653"/>
      <x:c r="AA131" s="653"/>
      <x:c r="AB131" s="653"/>
      <x:c r="AC131" s="653"/>
      <x:c r="AD131" s="498"/>
      <x:c r="AE131" s="498"/>
      <x:c r="AF131" s="498"/>
      <x:c r="AG131" s="498"/>
      <x:c r="AH131" s="498"/>
      <x:c r="AI131" s="498"/>
      <x:c r="AJ131" s="498"/>
      <x:c r="AK131" s="498"/>
      <x:c r="AL131" s="498"/>
      <x:c r="AM131" s="498"/>
      <x:c r="AN131" s="498"/>
      <x:c r="AO131" s="498"/>
      <x:c r="AP131" s="498"/>
      <x:c r="AQ131" s="498"/>
      <x:c r="AR131" s="498"/>
      <x:c r="AS131" s="498"/>
      <x:c r="AT131" s="498"/>
      <x:c r="AU131" s="498"/>
      <x:c r="AV131" s="498"/>
      <x:c r="AW131" s="498"/>
      <x:c r="AX131" s="498"/>
      <x:c r="AY131" s="498"/>
      <x:c r="AZ131" s="498"/>
      <x:c r="BA131" s="498"/>
      <x:c r="BB131" s="498"/>
      <x:c r="BC131" s="498"/>
      <x:c r="BD131" s="498"/>
    </x:row>
    <x:row r="132">
      <x:c r="B132" s="658" t="s">
        <x:v>5</x:v>
      </x:c>
      <x:c r="C132" s="653" t="n">
        <x:f>SUM(C71,C73,C75,C81,C87,C90,C92)</x:f>
        <x:v>197</x:v>
      </x:c>
      <x:c r="D132" s="653" t="n">
        <x:f t="shared" ref="D132:Y132" si="9">SUM(D71,D73,D75,D81,D87,D90,D92)</x:f>
        <x:v>176</x:v>
      </x:c>
      <x:c r="E132" s="653">
        <x:f t="shared" si="9"/>
        <x:v>257</x:v>
      </x:c>
      <x:c r="F132" s="653">
        <x:f t="shared" si="9"/>
        <x:v>280</x:v>
      </x:c>
      <x:c r="G132" s="653">
        <x:f t="shared" si="9"/>
        <x:v>308</x:v>
      </x:c>
      <x:c r="H132" s="653">
        <x:f t="shared" si="9"/>
        <x:v>245</x:v>
      </x:c>
      <x:c r="I132" s="653">
        <x:f t="shared" si="9"/>
        <x:v>189</x:v>
      </x:c>
      <x:c r="J132" s="653">
        <x:f t="shared" si="9"/>
        <x:v>216</x:v>
      </x:c>
      <x:c r="K132" s="653">
        <x:f t="shared" si="9"/>
        <x:v>208</x:v>
      </x:c>
      <x:c r="L132" s="653">
        <x:f t="shared" si="9"/>
        <x:v>310</x:v>
      </x:c>
      <x:c r="M132" s="653">
        <x:f t="shared" si="9"/>
        <x:v>321</x:v>
      </x:c>
      <x:c r="N132" s="653">
        <x:f t="shared" si="9"/>
        <x:v>275</x:v>
      </x:c>
      <x:c r="O132" s="653">
        <x:f t="shared" si="9"/>
        <x:v>291</x:v>
      </x:c>
      <x:c r="P132" s="653">
        <x:f t="shared" si="9"/>
        <x:v>456</x:v>
      </x:c>
      <x:c r="Q132" s="653">
        <x:f t="shared" si="9"/>
        <x:v>521</x:v>
      </x:c>
      <x:c r="R132" s="653">
        <x:f t="shared" si="9"/>
        <x:v>426</x:v>
      </x:c>
      <x:c r="S132" s="653">
        <x:f t="shared" si="9"/>
        <x:v>476</x:v>
      </x:c>
      <x:c r="T132" s="653">
        <x:f t="shared" si="9"/>
        <x:v>308</x:v>
      </x:c>
      <x:c r="U132" s="653">
        <x:f t="shared" si="9"/>
        <x:v>185</x:v>
      </x:c>
      <x:c r="V132" s="653">
        <x:f t="shared" si="9"/>
        <x:v>173</x:v>
      </x:c>
      <x:c r="W132" s="653">
        <x:f t="shared" si="9"/>
        <x:v>192</x:v>
      </x:c>
      <x:c r="X132" s="653">
        <x:f t="shared" si="9"/>
        <x:v>155</x:v>
      </x:c>
      <x:c r="Y132" s="653">
        <x:f t="shared" si="9"/>
        <x:v>194</x:v>
      </x:c>
      <x:c r="Z132" s="653"/>
      <x:c r="AA132" s="653"/>
      <x:c r="AB132" s="653"/>
      <x:c r="AC132" s="653"/>
      <x:c r="AD132" s="498"/>
      <x:c r="AE132" s="498"/>
      <x:c r="AF132" s="498"/>
      <x:c r="AG132" s="498"/>
      <x:c r="AH132" s="498"/>
      <x:c r="AI132" s="498"/>
      <x:c r="AJ132" s="498"/>
      <x:c r="AK132" s="498"/>
      <x:c r="AL132" s="498"/>
      <x:c r="AM132" s="498"/>
      <x:c r="AN132" s="498"/>
      <x:c r="AO132" s="498"/>
      <x:c r="AP132" s="498"/>
      <x:c r="AQ132" s="498"/>
      <x:c r="AR132" s="498"/>
      <x:c r="AS132" s="498"/>
      <x:c r="AT132" s="498"/>
      <x:c r="AU132" s="498"/>
      <x:c r="AV132" s="498"/>
      <x:c r="AW132" s="498"/>
      <x:c r="AX132" s="498"/>
      <x:c r="AY132" s="498"/>
      <x:c r="AZ132" s="498"/>
      <x:c r="BA132" s="498"/>
      <x:c r="BB132" s="498"/>
      <x:c r="BC132" s="498"/>
      <x:c r="BD132" s="498"/>
    </x:row>
    <x:row r="133">
      <x:c r="B133" s="658" t="s">
        <x:v>6</x:v>
      </x:c>
      <x:c r="C133" s="653" t="n">
        <x:f>SUM(C95,C96,C100,C101,C105,C106,C113)</x:f>
        <x:v>79</x:v>
      </x:c>
      <x:c r="D133" s="653" t="n">
        <x:f t="shared" ref="D133:W133" si="10">SUM(D95,D96,D100,D101,D105,D106,D113)</x:f>
        <x:v>54</x:v>
      </x:c>
      <x:c r="E133" s="653">
        <x:f t="shared" si="10"/>
        <x:v>145</x:v>
      </x:c>
      <x:c r="F133" s="653">
        <x:f t="shared" si="10"/>
        <x:v>196</x:v>
      </x:c>
      <x:c r="G133" s="653">
        <x:f t="shared" si="10"/>
        <x:v>212</x:v>
      </x:c>
      <x:c r="H133" s="653">
        <x:f t="shared" si="10"/>
        <x:v>163</x:v>
      </x:c>
      <x:c r="I133" s="653">
        <x:f t="shared" si="10"/>
        <x:v>130</x:v>
      </x:c>
      <x:c r="J133" s="653">
        <x:f t="shared" si="10"/>
        <x:v>187</x:v>
      </x:c>
      <x:c r="K133" s="653">
        <x:f t="shared" si="10"/>
        <x:v>226</x:v>
      </x:c>
      <x:c r="L133" s="653">
        <x:f t="shared" si="10"/>
        <x:v>296</x:v>
      </x:c>
      <x:c r="M133" s="653">
        <x:f t="shared" si="10"/>
        <x:v>337</x:v>
      </x:c>
      <x:c r="N133" s="653">
        <x:f t="shared" si="10"/>
        <x:v>293</x:v>
      </x:c>
      <x:c r="O133" s="653">
        <x:f t="shared" si="10"/>
        <x:v>235</x:v>
      </x:c>
      <x:c r="P133" s="653">
        <x:f t="shared" si="10"/>
        <x:v>402</x:v>
      </x:c>
      <x:c r="Q133" s="653">
        <x:f t="shared" si="10"/>
        <x:v>426</x:v>
      </x:c>
      <x:c r="R133" s="653">
        <x:f t="shared" si="10"/>
        <x:v>350</x:v>
      </x:c>
      <x:c r="S133" s="653">
        <x:f t="shared" si="10"/>
        <x:v>419</x:v>
      </x:c>
      <x:c r="T133" s="653">
        <x:f t="shared" si="10"/>
        <x:v>407</x:v>
      </x:c>
      <x:c r="U133" s="653">
        <x:f t="shared" si="10"/>
        <x:v>219</x:v>
      </x:c>
      <x:c r="V133" s="653">
        <x:f t="shared" si="10"/>
        <x:v>188</x:v>
      </x:c>
      <x:c r="W133" s="653">
        <x:f t="shared" si="10"/>
        <x:v>205</x:v>
      </x:c>
      <x:c r="X133" s="654" t="n">
        <x:f>SUM(X95,X96,X100,X101,X105,X106,X113,X118)</x:f>
        <x:v>184</x:v>
      </x:c>
      <x:c r="Y133" s="654" t="n">
        <x:f>SUM(Y95,Y96,Y100,Y101,Y105,Y106,Y113,Y118)</x:f>
        <x:v>278</x:v>
      </x:c>
      <x:c r="Z133" s="653"/>
      <x:c r="AA133" s="653"/>
      <x:c r="AB133" s="653"/>
      <x:c r="AC133" s="653"/>
      <x:c r="AD133" s="498"/>
      <x:c r="AE133" s="498"/>
      <x:c r="AF133" s="498"/>
      <x:c r="AG133" s="498"/>
      <x:c r="AH133" s="498"/>
      <x:c r="AI133" s="498"/>
      <x:c r="AJ133" s="498"/>
      <x:c r="AK133" s="498"/>
      <x:c r="AL133" s="498"/>
      <x:c r="AM133" s="498"/>
      <x:c r="AN133" s="498"/>
      <x:c r="AO133" s="498"/>
      <x:c r="AP133" s="498"/>
      <x:c r="AQ133" s="498"/>
      <x:c r="AR133" s="498"/>
      <x:c r="AS133" s="498"/>
      <x:c r="AT133" s="498"/>
      <x:c r="AU133" s="498"/>
      <x:c r="AV133" s="498"/>
      <x:c r="AW133" s="498"/>
      <x:c r="AX133" s="498"/>
      <x:c r="AY133" s="498"/>
      <x:c r="AZ133" s="498"/>
      <x:c r="BA133" s="498"/>
      <x:c r="BB133" s="498"/>
      <x:c r="BC133" s="498"/>
      <x:c r="BD133" s="498"/>
    </x:row>
    <x:row r="134">
      <x:c r="B134" s="658" t="s">
        <x:v>7</x:v>
      </x:c>
      <x:c r="C134" s="653" t="n">
        <x:f>SUM(C85,C86,C88,C107,C110,C112)</x:f>
        <x:v>47</x:v>
      </x:c>
      <x:c r="D134" s="653" t="n">
        <x:f t="shared" ref="D134:Y134" si="11">SUM(D85,D86,D88,D107,D110,D112)</x:f>
        <x:v>47</x:v>
      </x:c>
      <x:c r="E134" s="653">
        <x:f t="shared" si="11"/>
        <x:v>90</x:v>
      </x:c>
      <x:c r="F134" s="653">
        <x:f t="shared" si="11"/>
        <x:v>79</x:v>
      </x:c>
      <x:c r="G134" s="653">
        <x:f t="shared" si="11"/>
        <x:v>108</x:v>
      </x:c>
      <x:c r="H134" s="653">
        <x:f t="shared" si="11"/>
        <x:v>89</x:v>
      </x:c>
      <x:c r="I134" s="653">
        <x:f t="shared" si="11"/>
        <x:v>59</x:v>
      </x:c>
      <x:c r="J134" s="653">
        <x:f t="shared" si="11"/>
        <x:v>89</x:v>
      </x:c>
      <x:c r="K134" s="653">
        <x:f t="shared" si="11"/>
        <x:v>93</x:v>
      </x:c>
      <x:c r="L134" s="653">
        <x:f t="shared" si="11"/>
        <x:v>163</x:v>
      </x:c>
      <x:c r="M134" s="653">
        <x:f t="shared" si="11"/>
        <x:v>154</x:v>
      </x:c>
      <x:c r="N134" s="653">
        <x:f t="shared" si="11"/>
        <x:v>169</x:v>
      </x:c>
      <x:c r="O134" s="653">
        <x:f t="shared" si="11"/>
        <x:v>298</x:v>
      </x:c>
      <x:c r="P134" s="653">
        <x:f t="shared" si="11"/>
        <x:v>403</x:v>
      </x:c>
      <x:c r="Q134" s="653">
        <x:f t="shared" si="11"/>
        <x:v>417</x:v>
      </x:c>
      <x:c r="R134" s="653">
        <x:f t="shared" si="11"/>
        <x:v>419</x:v>
      </x:c>
      <x:c r="S134" s="653">
        <x:f t="shared" si="11"/>
        <x:v>424</x:v>
      </x:c>
      <x:c r="T134" s="653">
        <x:f t="shared" si="11"/>
        <x:v>458</x:v>
      </x:c>
      <x:c r="U134" s="653">
        <x:f t="shared" si="11"/>
        <x:v>317</x:v>
      </x:c>
      <x:c r="V134" s="653">
        <x:f t="shared" si="11"/>
        <x:v>277</x:v>
      </x:c>
      <x:c r="W134" s="653">
        <x:f t="shared" si="11"/>
        <x:v>243</x:v>
      </x:c>
      <x:c r="X134" s="653">
        <x:f t="shared" si="11"/>
        <x:v>153</x:v>
      </x:c>
      <x:c r="Y134" s="653">
        <x:f t="shared" si="11"/>
        <x:v>192</x:v>
      </x:c>
      <x:c r="Z134" s="653"/>
      <x:c r="AA134" s="653"/>
      <x:c r="AB134" s="653"/>
      <x:c r="AC134" s="653"/>
      <x:c r="AD134" s="498"/>
      <x:c r="AE134" s="498"/>
      <x:c r="AF134" s="498"/>
      <x:c r="AG134" s="498"/>
      <x:c r="AH134" s="498"/>
      <x:c r="AI134" s="498"/>
      <x:c r="AJ134" s="498"/>
      <x:c r="AK134" s="498"/>
      <x:c r="AL134" s="498"/>
      <x:c r="AM134" s="498"/>
      <x:c r="AN134" s="498"/>
      <x:c r="AO134" s="498"/>
      <x:c r="AP134" s="498"/>
      <x:c r="AQ134" s="498"/>
      <x:c r="AR134" s="498"/>
      <x:c r="AS134" s="498"/>
      <x:c r="AT134" s="498"/>
      <x:c r="AU134" s="498"/>
      <x:c r="AV134" s="498"/>
      <x:c r="AW134" s="498"/>
      <x:c r="AX134" s="498"/>
      <x:c r="AY134" s="498"/>
      <x:c r="AZ134" s="498"/>
      <x:c r="BA134" s="498"/>
      <x:c r="BB134" s="498"/>
      <x:c r="BC134" s="498"/>
      <x:c r="BD134" s="498"/>
    </x:row>
    <x:row r="135">
      <x:c r="B135" s="659" t="s">
        <x:v>8</x:v>
      </x:c>
      <x:c r="C135" s="655" t="n">
        <x:f>SUM(C82,C83,C94,C104,C116,C117)</x:f>
        <x:v>50</x:v>
      </x:c>
      <x:c r="D135" s="655" t="n">
        <x:f t="shared" ref="D135:Y135" si="12">SUM(D82,D83,D94,D104,D116,D117)</x:f>
        <x:v>44</x:v>
      </x:c>
      <x:c r="E135" s="655">
        <x:f t="shared" si="12"/>
        <x:v>59</x:v>
      </x:c>
      <x:c r="F135" s="655">
        <x:f t="shared" si="12"/>
        <x:v>67</x:v>
      </x:c>
      <x:c r="G135" s="655">
        <x:f t="shared" si="12"/>
        <x:v>144</x:v>
      </x:c>
      <x:c r="H135" s="655">
        <x:f t="shared" si="12"/>
        <x:v>87</x:v>
      </x:c>
      <x:c r="I135" s="655">
        <x:f t="shared" si="12"/>
        <x:v>80</x:v>
      </x:c>
      <x:c r="J135" s="655">
        <x:f t="shared" si="12"/>
        <x:v>86</x:v>
      </x:c>
      <x:c r="K135" s="655">
        <x:f t="shared" si="12"/>
        <x:v>108</x:v>
      </x:c>
      <x:c r="L135" s="655">
        <x:f t="shared" si="12"/>
        <x:v>150</x:v>
      </x:c>
      <x:c r="M135" s="655">
        <x:f t="shared" si="12"/>
        <x:v>162</x:v>
      </x:c>
      <x:c r="N135" s="655">
        <x:f t="shared" si="12"/>
        <x:v>143</x:v>
      </x:c>
      <x:c r="O135" s="655">
        <x:f t="shared" si="12"/>
        <x:v>157</x:v>
      </x:c>
      <x:c r="P135" s="655">
        <x:f t="shared" si="12"/>
        <x:v>161</x:v>
      </x:c>
      <x:c r="Q135" s="655">
        <x:f t="shared" si="12"/>
        <x:v>232</x:v>
      </x:c>
      <x:c r="R135" s="655">
        <x:f t="shared" si="12"/>
        <x:v>219</x:v>
      </x:c>
      <x:c r="S135" s="655">
        <x:f t="shared" si="12"/>
        <x:v>208</x:v>
      </x:c>
      <x:c r="T135" s="655">
        <x:f t="shared" si="12"/>
        <x:v>192</x:v>
      </x:c>
      <x:c r="U135" s="655">
        <x:f t="shared" si="12"/>
        <x:v>139</x:v>
      </x:c>
      <x:c r="V135" s="655">
        <x:f t="shared" si="12"/>
        <x:v>170</x:v>
      </x:c>
      <x:c r="W135" s="655">
        <x:f t="shared" si="12"/>
        <x:v>309</x:v>
      </x:c>
      <x:c r="X135" s="655">
        <x:f t="shared" si="12"/>
        <x:v>112</x:v>
      </x:c>
      <x:c r="Y135" s="655">
        <x:f t="shared" si="12"/>
        <x:v>138</x:v>
      </x:c>
      <x:c r="Z135" s="655"/>
      <x:c r="AA135" s="655"/>
      <x:c r="AB135" s="655"/>
      <x:c r="AC135" s="655"/>
      <x:c r="AD135" s="501"/>
      <x:c r="AE135" s="501"/>
      <x:c r="AF135" s="501"/>
      <x:c r="AG135" s="501"/>
      <x:c r="AH135" s="501"/>
      <x:c r="AI135" s="501"/>
      <x:c r="AJ135" s="501"/>
      <x:c r="AK135" s="501"/>
      <x:c r="AL135" s="501"/>
      <x:c r="AM135" s="501"/>
      <x:c r="AN135" s="501"/>
      <x:c r="AO135" s="501"/>
      <x:c r="AP135" s="501"/>
      <x:c r="AQ135" s="501"/>
      <x:c r="AR135" s="501"/>
      <x:c r="AS135" s="501"/>
      <x:c r="AT135" s="501"/>
      <x:c r="AU135" s="501"/>
      <x:c r="AV135" s="501"/>
      <x:c r="AW135" s="501"/>
      <x:c r="AX135" s="501"/>
      <x:c r="AY135" s="501"/>
      <x:c r="AZ135" s="501"/>
      <x:c r="BA135" s="501"/>
      <x:c r="BB135" s="501"/>
      <x:c r="BC135" s="501"/>
      <x:c r="BD135" s="501"/>
    </x:row>
    <x:row r="136"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  <x:c r="AA136" s="44"/>
      <x:c r="AB136" s="44"/>
      <x:c r="AC136" s="44"/>
    </x:row>
    <x:row r="139" ht="23" customHeight="1">
      <x:c r="B139" s="660" t="str">
        <x:v>EXPANSÃO AUTOMÁTICA | VALOR DE DESCONTOS</x:v>
      </x:c>
      <x:c r="C139" s="660"/>
      <x:c r="D139" s="660"/>
      <x:c r="E139" s="660"/>
      <x:c r="F139" s="660"/>
      <x:c r="G139" s="660"/>
      <x:c r="H139" s="660"/>
      <x:c r="I139" s="660"/>
      <x:c r="J139" s="660"/>
      <x:c r="K139" s="660"/>
      <x:c r="L139" s="660"/>
      <x:c r="M139" s="660"/>
      <x:c r="N139" s="660"/>
      <x:c r="O139" s="660"/>
      <x:c r="P139" s="660"/>
      <x:c r="Q139" s="660"/>
      <x:c r="R139" s="660"/>
      <x:c r="S139" s="660"/>
      <x:c r="T139" s="660"/>
      <x:c r="U139" s="660"/>
      <x:c r="V139" s="660"/>
      <x:c r="W139" s="660"/>
      <x:c r="X139" s="660"/>
      <x:c r="Y139" s="660"/>
      <x:c r="Z139" s="660"/>
      <x:c r="AA139" s="660"/>
      <x:c r="AB139" s="660"/>
      <x:c r="AC139" s="660"/>
      <x:c r="AD139" s="660"/>
      <x:c r="AE139" s="660"/>
      <x:c r="AF139" s="660"/>
      <x:c r="AG139" s="660"/>
      <x:c r="AH139" s="660"/>
      <x:c r="AI139" s="660"/>
      <x:c r="AJ139" s="660"/>
      <x:c r="AK139" s="660"/>
      <x:c r="AL139" s="660"/>
      <x:c r="AM139" s="660"/>
      <x:c r="AN139" s="660"/>
      <x:c r="AO139" s="660"/>
      <x:c r="AP139" s="660"/>
      <x:c r="AQ139" s="660"/>
      <x:c r="AR139" s="660"/>
      <x:c r="AS139" s="660"/>
      <x:c r="AT139" s="660"/>
      <x:c r="AU139" s="660"/>
      <x:c r="AV139" s="660"/>
      <x:c r="AW139" s="660"/>
      <x:c r="AX139" s="660"/>
      <x:c r="AY139" s="660"/>
      <x:c r="AZ139" s="660"/>
      <x:c r="BA139" s="660"/>
      <x:c r="BB139" s="660"/>
      <x:c r="BC139" s="660"/>
      <x:c r="BD139" s="660"/>
    </x:row>
    <x:row r="140" ht="22" customHeight="1">
      <x:c r="B140" s="664" t="str">
        <x:v>LOJA</x:v>
      </x:c>
      <x:c r="C140" s="665">
        <x:v>45139</x:v>
      </x:c>
      <x:c r="D140" s="665">
        <x:v>45170</x:v>
      </x:c>
      <x:c r="E140" s="665">
        <x:v>45200</x:v>
      </x:c>
      <x:c r="F140" s="665">
        <x:v>45231</x:v>
      </x:c>
      <x:c r="G140" s="665">
        <x:v>45261</x:v>
      </x:c>
      <x:c r="H140" s="665">
        <x:v>45292</x:v>
      </x:c>
      <x:c r="I140" s="665">
        <x:v>45323</x:v>
      </x:c>
      <x:c r="J140" s="665">
        <x:v>45352</x:v>
      </x:c>
      <x:c r="K140" s="665">
        <x:v>45383</x:v>
      </x:c>
      <x:c r="L140" s="665">
        <x:v>45413</x:v>
      </x:c>
      <x:c r="M140" s="665">
        <x:v>45444</x:v>
      </x:c>
      <x:c r="N140" s="665">
        <x:v>45474</x:v>
      </x:c>
      <x:c r="O140" s="665">
        <x:v>45505</x:v>
      </x:c>
      <x:c r="P140" s="665">
        <x:v>45536</x:v>
      </x:c>
      <x:c r="Q140" s="665">
        <x:v>45566</x:v>
      </x:c>
      <x:c r="R140" s="665">
        <x:v>45597</x:v>
      </x:c>
      <x:c r="S140" s="665">
        <x:v>45627</x:v>
      </x:c>
      <x:c r="T140" s="665">
        <x:v>45658</x:v>
      </x:c>
      <x:c r="U140" s="665">
        <x:v>45689</x:v>
      </x:c>
      <x:c r="V140" s="665">
        <x:v>45717</x:v>
      </x:c>
      <x:c r="W140" s="665">
        <x:v>45748</x:v>
      </x:c>
      <x:c r="X140" s="665">
        <x:v>45778</x:v>
      </x:c>
      <x:c r="Y140" s="665">
        <x:v>45809</x:v>
      </x:c>
      <x:c r="Z140" s="665">
        <x:v>45839</x:v>
      </x:c>
      <x:c r="AA140" s="665">
        <x:v>45870</x:v>
      </x:c>
      <x:c r="AB140" s="665">
        <x:v>45901</x:v>
      </x:c>
      <x:c r="AC140" s="665">
        <x:v>45931</x:v>
      </x:c>
      <x:c r="AD140" s="665">
        <x:v>45962</x:v>
      </x:c>
      <x:c r="AE140" s="665">
        <x:v>45992</x:v>
      </x:c>
      <x:c r="AF140" s="665">
        <x:v>46023</x:v>
      </x:c>
      <x:c r="AG140" s="665">
        <x:v>46054</x:v>
      </x:c>
      <x:c r="AH140" s="665">
        <x:v>46082</x:v>
      </x:c>
      <x:c r="AI140" s="665">
        <x:v>46113</x:v>
      </x:c>
      <x:c r="AJ140" s="665">
        <x:v>46143</x:v>
      </x:c>
      <x:c r="AK140" s="665">
        <x:v>46174</x:v>
      </x:c>
      <x:c r="AL140" s="665">
        <x:v>46204</x:v>
      </x:c>
      <x:c r="AM140" s="665">
        <x:v>46235</x:v>
      </x:c>
      <x:c r="AN140" s="665">
        <x:v>46266</x:v>
      </x:c>
      <x:c r="AO140" s="665">
        <x:v>46296</x:v>
      </x:c>
      <x:c r="AP140" s="665">
        <x:v>46327</x:v>
      </x:c>
      <x:c r="AQ140" s="665">
        <x:v>46357</x:v>
      </x:c>
      <x:c r="AR140" s="665">
        <x:v>46388</x:v>
      </x:c>
      <x:c r="AS140" s="665">
        <x:v>46419</x:v>
      </x:c>
      <x:c r="AT140" s="665">
        <x:v>46447</x:v>
      </x:c>
      <x:c r="AU140" s="665">
        <x:v>46478</x:v>
      </x:c>
      <x:c r="AV140" s="665">
        <x:v>46508</x:v>
      </x:c>
      <x:c r="AW140" s="665">
        <x:v>46539</x:v>
      </x:c>
      <x:c r="AX140" s="665">
        <x:v>46569</x:v>
      </x:c>
      <x:c r="AY140" s="665">
        <x:v>46600</x:v>
      </x:c>
      <x:c r="AZ140" s="665">
        <x:v>46631</x:v>
      </x:c>
      <x:c r="BA140" s="665">
        <x:v>46661</x:v>
      </x:c>
      <x:c r="BB140" s="665">
        <x:v>46692</x:v>
      </x:c>
      <x:c r="BC140" s="665">
        <x:v>46722</x:v>
      </x:c>
      <x:c r="BD140" s="665">
        <x:v>46753</x:v>
      </x:c>
    </x:row>
    <x:row r="141" ht="19" customHeight="1">
      <x:c r="B141" s="668" t="str">
        <x:f>IF('CADASTRO DE LOJAS'!E65="SIM",'CADASTRO DE LOJAS'!B65,"")</x:f>
      </x:c>
      <x:c r="C141" s="670"/>
      <x:c r="D141" s="670"/>
      <x:c r="E141" s="670"/>
      <x:c r="F141" s="670"/>
      <x:c r="G141" s="670"/>
      <x:c r="H141" s="670"/>
      <x:c r="I141" s="670"/>
      <x:c r="J141" s="670"/>
      <x:c r="K141" s="670"/>
      <x:c r="L141" s="670"/>
      <x:c r="M141" s="670"/>
      <x:c r="N141" s="670"/>
      <x:c r="O141" s="670"/>
      <x:c r="P141" s="670"/>
      <x:c r="Q141" s="670"/>
      <x:c r="R141" s="670"/>
      <x:c r="S141" s="670"/>
      <x:c r="T141" s="670"/>
      <x:c r="U141" s="670"/>
      <x:c r="V141" s="670"/>
      <x:c r="W141" s="670"/>
      <x:c r="X141" s="670"/>
      <x:c r="Y141" s="670"/>
      <x:c r="Z141" s="670"/>
      <x:c r="AA141" s="670"/>
      <x:c r="AB141" s="670"/>
      <x:c r="AC141" s="670"/>
      <x:c r="AD141" s="670"/>
      <x:c r="AE141" s="670"/>
      <x:c r="AF141" s="670"/>
      <x:c r="AG141" s="670"/>
      <x:c r="AH141" s="670"/>
      <x:c r="AI141" s="670"/>
      <x:c r="AJ141" s="670"/>
      <x:c r="AK141" s="670"/>
      <x:c r="AL141" s="670"/>
      <x:c r="AM141" s="670"/>
      <x:c r="AN141" s="670"/>
      <x:c r="AO141" s="670"/>
      <x:c r="AP141" s="670"/>
      <x:c r="AQ141" s="670"/>
      <x:c r="AR141" s="670"/>
      <x:c r="AS141" s="670"/>
      <x:c r="AT141" s="670"/>
      <x:c r="AU141" s="670"/>
      <x:c r="AV141" s="670"/>
      <x:c r="AW141" s="670"/>
      <x:c r="AX141" s="670"/>
      <x:c r="AY141" s="670"/>
      <x:c r="AZ141" s="670"/>
      <x:c r="BA141" s="670"/>
      <x:c r="BB141" s="670"/>
      <x:c r="BC141" s="670"/>
      <x:c r="BD141" s="671"/>
    </x:row>
    <x:row r="142" ht="19" customHeight="1">
      <x:c r="B142" s="668" t="str">
        <x:f>IF('CADASTRO DE LOJAS'!E66="SIM",'CADASTRO DE LOJAS'!B66,"")</x:f>
      </x:c>
      <x:c r="C142" s="670"/>
      <x:c r="D142" s="670"/>
      <x:c r="E142" s="670"/>
      <x:c r="F142" s="670"/>
      <x:c r="G142" s="670"/>
      <x:c r="H142" s="670"/>
      <x:c r="I142" s="670"/>
      <x:c r="J142" s="670"/>
      <x:c r="K142" s="670"/>
      <x:c r="L142" s="670"/>
      <x:c r="M142" s="670"/>
      <x:c r="N142" s="670"/>
      <x:c r="O142" s="670"/>
      <x:c r="P142" s="670"/>
      <x:c r="Q142" s="670"/>
      <x:c r="R142" s="670"/>
      <x:c r="S142" s="670"/>
      <x:c r="T142" s="670"/>
      <x:c r="U142" s="670"/>
      <x:c r="V142" s="670"/>
      <x:c r="W142" s="670"/>
      <x:c r="X142" s="670"/>
      <x:c r="Y142" s="670"/>
      <x:c r="Z142" s="670"/>
      <x:c r="AA142" s="670"/>
      <x:c r="AB142" s="670"/>
      <x:c r="AC142" s="670"/>
      <x:c r="AD142" s="670"/>
      <x:c r="AE142" s="670"/>
      <x:c r="AF142" s="670"/>
      <x:c r="AG142" s="670"/>
      <x:c r="AH142" s="670"/>
      <x:c r="AI142" s="670"/>
      <x:c r="AJ142" s="670"/>
      <x:c r="AK142" s="670"/>
      <x:c r="AL142" s="670"/>
      <x:c r="AM142" s="670"/>
      <x:c r="AN142" s="670"/>
      <x:c r="AO142" s="670"/>
      <x:c r="AP142" s="670"/>
      <x:c r="AQ142" s="670"/>
      <x:c r="AR142" s="670"/>
      <x:c r="AS142" s="670"/>
      <x:c r="AT142" s="670"/>
      <x:c r="AU142" s="670"/>
      <x:c r="AV142" s="670"/>
      <x:c r="AW142" s="670"/>
      <x:c r="AX142" s="670"/>
      <x:c r="AY142" s="670"/>
      <x:c r="AZ142" s="670"/>
      <x:c r="BA142" s="670"/>
      <x:c r="BB142" s="670"/>
      <x:c r="BC142" s="670"/>
      <x:c r="BD142" s="671"/>
    </x:row>
    <x:row r="143" ht="19" customHeight="1">
      <x:c r="B143" s="668" t="str">
        <x:f>IF('CADASTRO DE LOJAS'!E67="SIM",'CADASTRO DE LOJAS'!B67,"")</x:f>
      </x:c>
      <x:c r="C143" s="670"/>
      <x:c r="D143" s="670"/>
      <x:c r="E143" s="670"/>
      <x:c r="F143" s="670"/>
      <x:c r="G143" s="670"/>
      <x:c r="H143" s="670"/>
      <x:c r="I143" s="670"/>
      <x:c r="J143" s="670"/>
      <x:c r="K143" s="670"/>
      <x:c r="L143" s="670"/>
      <x:c r="M143" s="670"/>
      <x:c r="N143" s="670"/>
      <x:c r="O143" s="670"/>
      <x:c r="P143" s="670"/>
      <x:c r="Q143" s="670"/>
      <x:c r="R143" s="670"/>
      <x:c r="S143" s="670"/>
      <x:c r="T143" s="670"/>
      <x:c r="U143" s="670"/>
      <x:c r="V143" s="670"/>
      <x:c r="W143" s="670"/>
      <x:c r="X143" s="670"/>
      <x:c r="Y143" s="670"/>
      <x:c r="Z143" s="670"/>
      <x:c r="AA143" s="670"/>
      <x:c r="AB143" s="670"/>
      <x:c r="AC143" s="670"/>
      <x:c r="AD143" s="670"/>
      <x:c r="AE143" s="670"/>
      <x:c r="AF143" s="670"/>
      <x:c r="AG143" s="670"/>
      <x:c r="AH143" s="670"/>
      <x:c r="AI143" s="670"/>
      <x:c r="AJ143" s="670"/>
      <x:c r="AK143" s="670"/>
      <x:c r="AL143" s="670"/>
      <x:c r="AM143" s="670"/>
      <x:c r="AN143" s="670"/>
      <x:c r="AO143" s="670"/>
      <x:c r="AP143" s="670"/>
      <x:c r="AQ143" s="670"/>
      <x:c r="AR143" s="670"/>
      <x:c r="AS143" s="670"/>
      <x:c r="AT143" s="670"/>
      <x:c r="AU143" s="670"/>
      <x:c r="AV143" s="670"/>
      <x:c r="AW143" s="670"/>
      <x:c r="AX143" s="670"/>
      <x:c r="AY143" s="670"/>
      <x:c r="AZ143" s="670"/>
      <x:c r="BA143" s="670"/>
      <x:c r="BB143" s="670"/>
      <x:c r="BC143" s="670"/>
      <x:c r="BD143" s="671"/>
    </x:row>
    <x:row r="144" ht="19" customHeight="1">
      <x:c r="B144" s="668" t="str">
        <x:f>IF('CADASTRO DE LOJAS'!E68="SIM",'CADASTRO DE LOJAS'!B68,"")</x:f>
      </x:c>
      <x:c r="C144" s="670"/>
      <x:c r="D144" s="670"/>
      <x:c r="E144" s="670"/>
      <x:c r="F144" s="670"/>
      <x:c r="G144" s="670"/>
      <x:c r="H144" s="670"/>
      <x:c r="I144" s="670"/>
      <x:c r="J144" s="670"/>
      <x:c r="K144" s="670"/>
      <x:c r="L144" s="670"/>
      <x:c r="M144" s="670"/>
      <x:c r="N144" s="670"/>
      <x:c r="O144" s="670"/>
      <x:c r="P144" s="670"/>
      <x:c r="Q144" s="670"/>
      <x:c r="R144" s="670"/>
      <x:c r="S144" s="670"/>
      <x:c r="T144" s="670"/>
      <x:c r="U144" s="670"/>
      <x:c r="V144" s="670"/>
      <x:c r="W144" s="670"/>
      <x:c r="X144" s="670"/>
      <x:c r="Y144" s="670"/>
      <x:c r="Z144" s="670"/>
      <x:c r="AA144" s="670"/>
      <x:c r="AB144" s="670"/>
      <x:c r="AC144" s="670"/>
      <x:c r="AD144" s="670"/>
      <x:c r="AE144" s="670"/>
      <x:c r="AF144" s="670"/>
      <x:c r="AG144" s="670"/>
      <x:c r="AH144" s="670"/>
      <x:c r="AI144" s="670"/>
      <x:c r="AJ144" s="670"/>
      <x:c r="AK144" s="670"/>
      <x:c r="AL144" s="670"/>
      <x:c r="AM144" s="670"/>
      <x:c r="AN144" s="670"/>
      <x:c r="AO144" s="670"/>
      <x:c r="AP144" s="670"/>
      <x:c r="AQ144" s="670"/>
      <x:c r="AR144" s="670"/>
      <x:c r="AS144" s="670"/>
      <x:c r="AT144" s="670"/>
      <x:c r="AU144" s="670"/>
      <x:c r="AV144" s="670"/>
      <x:c r="AW144" s="670"/>
      <x:c r="AX144" s="670"/>
      <x:c r="AY144" s="670"/>
      <x:c r="AZ144" s="670"/>
      <x:c r="BA144" s="670"/>
      <x:c r="BB144" s="670"/>
      <x:c r="BC144" s="670"/>
      <x:c r="BD144" s="671"/>
    </x:row>
    <x:row r="145" ht="19" customHeight="1">
      <x:c r="B145" s="668" t="str">
        <x:f>IF('CADASTRO DE LOJAS'!E69="SIM",'CADASTRO DE LOJAS'!B69,"")</x:f>
      </x:c>
      <x:c r="C145" s="670"/>
      <x:c r="D145" s="670"/>
      <x:c r="E145" s="670"/>
      <x:c r="F145" s="670"/>
      <x:c r="G145" s="670"/>
      <x:c r="H145" s="670"/>
      <x:c r="I145" s="670"/>
      <x:c r="J145" s="670"/>
      <x:c r="K145" s="670"/>
      <x:c r="L145" s="670"/>
      <x:c r="M145" s="670"/>
      <x:c r="N145" s="670"/>
      <x:c r="O145" s="670"/>
      <x:c r="P145" s="670"/>
      <x:c r="Q145" s="670"/>
      <x:c r="R145" s="670"/>
      <x:c r="S145" s="670"/>
      <x:c r="T145" s="670"/>
      <x:c r="U145" s="670"/>
      <x:c r="V145" s="670"/>
      <x:c r="W145" s="670"/>
      <x:c r="X145" s="670"/>
      <x:c r="Y145" s="670"/>
      <x:c r="Z145" s="670"/>
      <x:c r="AA145" s="670"/>
      <x:c r="AB145" s="670"/>
      <x:c r="AC145" s="670"/>
      <x:c r="AD145" s="670"/>
      <x:c r="AE145" s="670"/>
      <x:c r="AF145" s="670"/>
      <x:c r="AG145" s="670"/>
      <x:c r="AH145" s="670"/>
      <x:c r="AI145" s="670"/>
      <x:c r="AJ145" s="670"/>
      <x:c r="AK145" s="670"/>
      <x:c r="AL145" s="670"/>
      <x:c r="AM145" s="670"/>
      <x:c r="AN145" s="670"/>
      <x:c r="AO145" s="670"/>
      <x:c r="AP145" s="670"/>
      <x:c r="AQ145" s="670"/>
      <x:c r="AR145" s="670"/>
      <x:c r="AS145" s="670"/>
      <x:c r="AT145" s="670"/>
      <x:c r="AU145" s="670"/>
      <x:c r="AV145" s="670"/>
      <x:c r="AW145" s="670"/>
      <x:c r="AX145" s="670"/>
      <x:c r="AY145" s="670"/>
      <x:c r="AZ145" s="670"/>
      <x:c r="BA145" s="670"/>
      <x:c r="BB145" s="670"/>
      <x:c r="BC145" s="670"/>
      <x:c r="BD145" s="671"/>
    </x:row>
    <x:row r="146" ht="19" customHeight="1">
      <x:c r="B146" s="668" t="str">
        <x:f>IF('CADASTRO DE LOJAS'!E70="SIM",'CADASTRO DE LOJAS'!B70,"")</x:f>
      </x:c>
      <x:c r="C146" s="670"/>
      <x:c r="D146" s="670"/>
      <x:c r="E146" s="670"/>
      <x:c r="F146" s="670"/>
      <x:c r="G146" s="670"/>
      <x:c r="H146" s="670"/>
      <x:c r="I146" s="670"/>
      <x:c r="J146" s="670"/>
      <x:c r="K146" s="670"/>
      <x:c r="L146" s="670"/>
      <x:c r="M146" s="670"/>
      <x:c r="N146" s="670"/>
      <x:c r="O146" s="670"/>
      <x:c r="P146" s="670"/>
      <x:c r="Q146" s="670"/>
      <x:c r="R146" s="670"/>
      <x:c r="S146" s="670"/>
      <x:c r="T146" s="670"/>
      <x:c r="U146" s="670"/>
      <x:c r="V146" s="670"/>
      <x:c r="W146" s="670"/>
      <x:c r="X146" s="670"/>
      <x:c r="Y146" s="670"/>
      <x:c r="Z146" s="670"/>
      <x:c r="AA146" s="670"/>
      <x:c r="AB146" s="670"/>
      <x:c r="AC146" s="670"/>
      <x:c r="AD146" s="670"/>
      <x:c r="AE146" s="670"/>
      <x:c r="AF146" s="670"/>
      <x:c r="AG146" s="670"/>
      <x:c r="AH146" s="670"/>
      <x:c r="AI146" s="670"/>
      <x:c r="AJ146" s="670"/>
      <x:c r="AK146" s="670"/>
      <x:c r="AL146" s="670"/>
      <x:c r="AM146" s="670"/>
      <x:c r="AN146" s="670"/>
      <x:c r="AO146" s="670"/>
      <x:c r="AP146" s="670"/>
      <x:c r="AQ146" s="670"/>
      <x:c r="AR146" s="670"/>
      <x:c r="AS146" s="670"/>
      <x:c r="AT146" s="670"/>
      <x:c r="AU146" s="670"/>
      <x:c r="AV146" s="670"/>
      <x:c r="AW146" s="670"/>
      <x:c r="AX146" s="670"/>
      <x:c r="AY146" s="670"/>
      <x:c r="AZ146" s="670"/>
      <x:c r="BA146" s="670"/>
      <x:c r="BB146" s="670"/>
      <x:c r="BC146" s="670"/>
      <x:c r="BD146" s="671"/>
    </x:row>
    <x:row r="147" ht="19" customHeight="1">
      <x:c r="B147" s="668" t="str">
        <x:f>IF('CADASTRO DE LOJAS'!E71="SIM",'CADASTRO DE LOJAS'!B71,"")</x:f>
      </x:c>
      <x:c r="C147" s="670"/>
      <x:c r="D147" s="670"/>
      <x:c r="E147" s="670"/>
      <x:c r="F147" s="670"/>
      <x:c r="G147" s="670"/>
      <x:c r="H147" s="670"/>
      <x:c r="I147" s="670"/>
      <x:c r="J147" s="670"/>
      <x:c r="K147" s="670"/>
      <x:c r="L147" s="670"/>
      <x:c r="M147" s="670"/>
      <x:c r="N147" s="670"/>
      <x:c r="O147" s="670"/>
      <x:c r="P147" s="670"/>
      <x:c r="Q147" s="670"/>
      <x:c r="R147" s="670"/>
      <x:c r="S147" s="670"/>
      <x:c r="T147" s="670"/>
      <x:c r="U147" s="670"/>
      <x:c r="V147" s="670"/>
      <x:c r="W147" s="670"/>
      <x:c r="X147" s="670"/>
      <x:c r="Y147" s="670"/>
      <x:c r="Z147" s="670"/>
      <x:c r="AA147" s="670"/>
      <x:c r="AB147" s="670"/>
      <x:c r="AC147" s="670"/>
      <x:c r="AD147" s="670"/>
      <x:c r="AE147" s="670"/>
      <x:c r="AF147" s="670"/>
      <x:c r="AG147" s="670"/>
      <x:c r="AH147" s="670"/>
      <x:c r="AI147" s="670"/>
      <x:c r="AJ147" s="670"/>
      <x:c r="AK147" s="670"/>
      <x:c r="AL147" s="670"/>
      <x:c r="AM147" s="670"/>
      <x:c r="AN147" s="670"/>
      <x:c r="AO147" s="670"/>
      <x:c r="AP147" s="670"/>
      <x:c r="AQ147" s="670"/>
      <x:c r="AR147" s="670"/>
      <x:c r="AS147" s="670"/>
      <x:c r="AT147" s="670"/>
      <x:c r="AU147" s="670"/>
      <x:c r="AV147" s="670"/>
      <x:c r="AW147" s="670"/>
      <x:c r="AX147" s="670"/>
      <x:c r="AY147" s="670"/>
      <x:c r="AZ147" s="670"/>
      <x:c r="BA147" s="670"/>
      <x:c r="BB147" s="670"/>
      <x:c r="BC147" s="670"/>
      <x:c r="BD147" s="671"/>
    </x:row>
    <x:row r="148" ht="19" customHeight="1">
      <x:c r="B148" s="668" t="str">
        <x:f>IF('CADASTRO DE LOJAS'!E72="SIM",'CADASTRO DE LOJAS'!B72,"")</x:f>
      </x:c>
      <x:c r="C148" s="670"/>
      <x:c r="D148" s="670"/>
      <x:c r="E148" s="670"/>
      <x:c r="F148" s="670"/>
      <x:c r="G148" s="670"/>
      <x:c r="H148" s="670"/>
      <x:c r="I148" s="670"/>
      <x:c r="J148" s="670"/>
      <x:c r="K148" s="670"/>
      <x:c r="L148" s="670"/>
      <x:c r="M148" s="670"/>
      <x:c r="N148" s="670"/>
      <x:c r="O148" s="670"/>
      <x:c r="P148" s="670"/>
      <x:c r="Q148" s="670"/>
      <x:c r="R148" s="670"/>
      <x:c r="S148" s="670"/>
      <x:c r="T148" s="670"/>
      <x:c r="U148" s="670"/>
      <x:c r="V148" s="670"/>
      <x:c r="W148" s="670"/>
      <x:c r="X148" s="670"/>
      <x:c r="Y148" s="670"/>
      <x:c r="Z148" s="670"/>
      <x:c r="AA148" s="670"/>
      <x:c r="AB148" s="670"/>
      <x:c r="AC148" s="670"/>
      <x:c r="AD148" s="670"/>
      <x:c r="AE148" s="670"/>
      <x:c r="AF148" s="670"/>
      <x:c r="AG148" s="670"/>
      <x:c r="AH148" s="670"/>
      <x:c r="AI148" s="670"/>
      <x:c r="AJ148" s="670"/>
      <x:c r="AK148" s="670"/>
      <x:c r="AL148" s="670"/>
      <x:c r="AM148" s="670"/>
      <x:c r="AN148" s="670"/>
      <x:c r="AO148" s="670"/>
      <x:c r="AP148" s="670"/>
      <x:c r="AQ148" s="670"/>
      <x:c r="AR148" s="670"/>
      <x:c r="AS148" s="670"/>
      <x:c r="AT148" s="670"/>
      <x:c r="AU148" s="670"/>
      <x:c r="AV148" s="670"/>
      <x:c r="AW148" s="670"/>
      <x:c r="AX148" s="670"/>
      <x:c r="AY148" s="670"/>
      <x:c r="AZ148" s="670"/>
      <x:c r="BA148" s="670"/>
      <x:c r="BB148" s="670"/>
      <x:c r="BC148" s="670"/>
      <x:c r="BD148" s="671"/>
    </x:row>
    <x:row r="149" ht="19" customHeight="1">
      <x:c r="B149" s="668" t="str">
        <x:f>IF('CADASTRO DE LOJAS'!E73="SIM",'CADASTRO DE LOJAS'!B73,"")</x:f>
      </x:c>
      <x:c r="C149" s="670"/>
      <x:c r="D149" s="670"/>
      <x:c r="E149" s="670"/>
      <x:c r="F149" s="670"/>
      <x:c r="G149" s="670"/>
      <x:c r="H149" s="670"/>
      <x:c r="I149" s="670"/>
      <x:c r="J149" s="670"/>
      <x:c r="K149" s="670"/>
      <x:c r="L149" s="670"/>
      <x:c r="M149" s="670"/>
      <x:c r="N149" s="670"/>
      <x:c r="O149" s="670"/>
      <x:c r="P149" s="670"/>
      <x:c r="Q149" s="670"/>
      <x:c r="R149" s="670"/>
      <x:c r="S149" s="670"/>
      <x:c r="T149" s="670"/>
      <x:c r="U149" s="670"/>
      <x:c r="V149" s="670"/>
      <x:c r="W149" s="670"/>
      <x:c r="X149" s="670"/>
      <x:c r="Y149" s="670"/>
      <x:c r="Z149" s="670"/>
      <x:c r="AA149" s="670"/>
      <x:c r="AB149" s="670"/>
      <x:c r="AC149" s="670"/>
      <x:c r="AD149" s="670"/>
      <x:c r="AE149" s="670"/>
      <x:c r="AF149" s="670"/>
      <x:c r="AG149" s="670"/>
      <x:c r="AH149" s="670"/>
      <x:c r="AI149" s="670"/>
      <x:c r="AJ149" s="670"/>
      <x:c r="AK149" s="670"/>
      <x:c r="AL149" s="670"/>
      <x:c r="AM149" s="670"/>
      <x:c r="AN149" s="670"/>
      <x:c r="AO149" s="670"/>
      <x:c r="AP149" s="670"/>
      <x:c r="AQ149" s="670"/>
      <x:c r="AR149" s="670"/>
      <x:c r="AS149" s="670"/>
      <x:c r="AT149" s="670"/>
      <x:c r="AU149" s="670"/>
      <x:c r="AV149" s="670"/>
      <x:c r="AW149" s="670"/>
      <x:c r="AX149" s="670"/>
      <x:c r="AY149" s="670"/>
      <x:c r="AZ149" s="670"/>
      <x:c r="BA149" s="670"/>
      <x:c r="BB149" s="670"/>
      <x:c r="BC149" s="670"/>
      <x:c r="BD149" s="671"/>
    </x:row>
    <x:row r="150" ht="19" customHeight="1">
      <x:c r="B150" s="668" t="str">
        <x:f>IF('CADASTRO DE LOJAS'!E74="SIM",'CADASTRO DE LOJAS'!B74,"")</x:f>
      </x:c>
      <x:c r="C150" s="670"/>
      <x:c r="D150" s="670"/>
      <x:c r="E150" s="670"/>
      <x:c r="F150" s="670"/>
      <x:c r="G150" s="670"/>
      <x:c r="H150" s="670"/>
      <x:c r="I150" s="670"/>
      <x:c r="J150" s="670"/>
      <x:c r="K150" s="670"/>
      <x:c r="L150" s="670"/>
      <x:c r="M150" s="670"/>
      <x:c r="N150" s="670"/>
      <x:c r="O150" s="670"/>
      <x:c r="P150" s="670"/>
      <x:c r="Q150" s="670"/>
      <x:c r="R150" s="670"/>
      <x:c r="S150" s="670"/>
      <x:c r="T150" s="670"/>
      <x:c r="U150" s="670"/>
      <x:c r="V150" s="670"/>
      <x:c r="W150" s="670"/>
      <x:c r="X150" s="670"/>
      <x:c r="Y150" s="670"/>
      <x:c r="Z150" s="670"/>
      <x:c r="AA150" s="670"/>
      <x:c r="AB150" s="670"/>
      <x:c r="AC150" s="670"/>
      <x:c r="AD150" s="670"/>
      <x:c r="AE150" s="670"/>
      <x:c r="AF150" s="670"/>
      <x:c r="AG150" s="670"/>
      <x:c r="AH150" s="670"/>
      <x:c r="AI150" s="670"/>
      <x:c r="AJ150" s="670"/>
      <x:c r="AK150" s="670"/>
      <x:c r="AL150" s="670"/>
      <x:c r="AM150" s="670"/>
      <x:c r="AN150" s="670"/>
      <x:c r="AO150" s="670"/>
      <x:c r="AP150" s="670"/>
      <x:c r="AQ150" s="670"/>
      <x:c r="AR150" s="670"/>
      <x:c r="AS150" s="670"/>
      <x:c r="AT150" s="670"/>
      <x:c r="AU150" s="670"/>
      <x:c r="AV150" s="670"/>
      <x:c r="AW150" s="670"/>
      <x:c r="AX150" s="670"/>
      <x:c r="AY150" s="670"/>
      <x:c r="AZ150" s="670"/>
      <x:c r="BA150" s="670"/>
      <x:c r="BB150" s="670"/>
      <x:c r="BC150" s="670"/>
      <x:c r="BD150" s="671"/>
    </x:row>
    <x:row r="151" ht="19" customHeight="1">
      <x:c r="B151" s="668" t="str">
        <x:f>IF('CADASTRO DE LOJAS'!E75="SIM",'CADASTRO DE LOJAS'!B75,"")</x:f>
      </x:c>
      <x:c r="C151" s="670"/>
      <x:c r="D151" s="670"/>
      <x:c r="E151" s="670"/>
      <x:c r="F151" s="670"/>
      <x:c r="G151" s="670"/>
      <x:c r="H151" s="670"/>
      <x:c r="I151" s="670"/>
      <x:c r="J151" s="670"/>
      <x:c r="K151" s="670"/>
      <x:c r="L151" s="670"/>
      <x:c r="M151" s="670"/>
      <x:c r="N151" s="670"/>
      <x:c r="O151" s="670"/>
      <x:c r="P151" s="670"/>
      <x:c r="Q151" s="670"/>
      <x:c r="R151" s="670"/>
      <x:c r="S151" s="670"/>
      <x:c r="T151" s="670"/>
      <x:c r="U151" s="670"/>
      <x:c r="V151" s="670"/>
      <x:c r="W151" s="670"/>
      <x:c r="X151" s="670"/>
      <x:c r="Y151" s="670"/>
      <x:c r="Z151" s="670"/>
      <x:c r="AA151" s="670"/>
      <x:c r="AB151" s="670"/>
      <x:c r="AC151" s="670"/>
      <x:c r="AD151" s="670"/>
      <x:c r="AE151" s="670"/>
      <x:c r="AF151" s="670"/>
      <x:c r="AG151" s="670"/>
      <x:c r="AH151" s="670"/>
      <x:c r="AI151" s="670"/>
      <x:c r="AJ151" s="670"/>
      <x:c r="AK151" s="670"/>
      <x:c r="AL151" s="670"/>
      <x:c r="AM151" s="670"/>
      <x:c r="AN151" s="670"/>
      <x:c r="AO151" s="670"/>
      <x:c r="AP151" s="670"/>
      <x:c r="AQ151" s="670"/>
      <x:c r="AR151" s="670"/>
      <x:c r="AS151" s="670"/>
      <x:c r="AT151" s="670"/>
      <x:c r="AU151" s="670"/>
      <x:c r="AV151" s="670"/>
      <x:c r="AW151" s="670"/>
      <x:c r="AX151" s="670"/>
      <x:c r="AY151" s="670"/>
      <x:c r="AZ151" s="670"/>
      <x:c r="BA151" s="670"/>
      <x:c r="BB151" s="670"/>
      <x:c r="BC151" s="670"/>
      <x:c r="BD151" s="671"/>
    </x:row>
    <x:row r="152" ht="19" customHeight="1">
      <x:c r="B152" s="668" t="str">
        <x:f>IF('CADASTRO DE LOJAS'!E76="SIM",'CADASTRO DE LOJAS'!B76,"")</x:f>
      </x:c>
      <x:c r="C152" s="670"/>
      <x:c r="D152" s="670"/>
      <x:c r="E152" s="670"/>
      <x:c r="F152" s="670"/>
      <x:c r="G152" s="670"/>
      <x:c r="H152" s="670"/>
      <x:c r="I152" s="670"/>
      <x:c r="J152" s="670"/>
      <x:c r="K152" s="670"/>
      <x:c r="L152" s="670"/>
      <x:c r="M152" s="670"/>
      <x:c r="N152" s="670"/>
      <x:c r="O152" s="670"/>
      <x:c r="P152" s="670"/>
      <x:c r="Q152" s="670"/>
      <x:c r="R152" s="670"/>
      <x:c r="S152" s="670"/>
      <x:c r="T152" s="670"/>
      <x:c r="U152" s="670"/>
      <x:c r="V152" s="670"/>
      <x:c r="W152" s="670"/>
      <x:c r="X152" s="670"/>
      <x:c r="Y152" s="670"/>
      <x:c r="Z152" s="670"/>
      <x:c r="AA152" s="670"/>
      <x:c r="AB152" s="670"/>
      <x:c r="AC152" s="670"/>
      <x:c r="AD152" s="670"/>
      <x:c r="AE152" s="670"/>
      <x:c r="AF152" s="670"/>
      <x:c r="AG152" s="670"/>
      <x:c r="AH152" s="670"/>
      <x:c r="AI152" s="670"/>
      <x:c r="AJ152" s="670"/>
      <x:c r="AK152" s="670"/>
      <x:c r="AL152" s="670"/>
      <x:c r="AM152" s="670"/>
      <x:c r="AN152" s="670"/>
      <x:c r="AO152" s="670"/>
      <x:c r="AP152" s="670"/>
      <x:c r="AQ152" s="670"/>
      <x:c r="AR152" s="670"/>
      <x:c r="AS152" s="670"/>
      <x:c r="AT152" s="670"/>
      <x:c r="AU152" s="670"/>
      <x:c r="AV152" s="670"/>
      <x:c r="AW152" s="670"/>
      <x:c r="AX152" s="670"/>
      <x:c r="AY152" s="670"/>
      <x:c r="AZ152" s="670"/>
      <x:c r="BA152" s="670"/>
      <x:c r="BB152" s="670"/>
      <x:c r="BC152" s="670"/>
      <x:c r="BD152" s="671"/>
    </x:row>
    <x:row r="153" ht="19" customHeight="1">
      <x:c r="B153" s="668" t="str">
        <x:f>IF('CADASTRO DE LOJAS'!E77="SIM",'CADASTRO DE LOJAS'!B77,"")</x:f>
      </x:c>
      <x:c r="C153" s="670"/>
      <x:c r="D153" s="670"/>
      <x:c r="E153" s="670"/>
      <x:c r="F153" s="670"/>
      <x:c r="G153" s="670"/>
      <x:c r="H153" s="670"/>
      <x:c r="I153" s="670"/>
      <x:c r="J153" s="670"/>
      <x:c r="K153" s="670"/>
      <x:c r="L153" s="670"/>
      <x:c r="M153" s="670"/>
      <x:c r="N153" s="670"/>
      <x:c r="O153" s="670"/>
      <x:c r="P153" s="670"/>
      <x:c r="Q153" s="670"/>
      <x:c r="R153" s="670"/>
      <x:c r="S153" s="670"/>
      <x:c r="T153" s="670"/>
      <x:c r="U153" s="670"/>
      <x:c r="V153" s="670"/>
      <x:c r="W153" s="670"/>
      <x:c r="X153" s="670"/>
      <x:c r="Y153" s="670"/>
      <x:c r="Z153" s="670"/>
      <x:c r="AA153" s="670"/>
      <x:c r="AB153" s="670"/>
      <x:c r="AC153" s="670"/>
      <x:c r="AD153" s="670"/>
      <x:c r="AE153" s="670"/>
      <x:c r="AF153" s="670"/>
      <x:c r="AG153" s="670"/>
      <x:c r="AH153" s="670"/>
      <x:c r="AI153" s="670"/>
      <x:c r="AJ153" s="670"/>
      <x:c r="AK153" s="670"/>
      <x:c r="AL153" s="670"/>
      <x:c r="AM153" s="670"/>
      <x:c r="AN153" s="670"/>
      <x:c r="AO153" s="670"/>
      <x:c r="AP153" s="670"/>
      <x:c r="AQ153" s="670"/>
      <x:c r="AR153" s="670"/>
      <x:c r="AS153" s="670"/>
      <x:c r="AT153" s="670"/>
      <x:c r="AU153" s="670"/>
      <x:c r="AV153" s="670"/>
      <x:c r="AW153" s="670"/>
      <x:c r="AX153" s="670"/>
      <x:c r="AY153" s="670"/>
      <x:c r="AZ153" s="670"/>
      <x:c r="BA153" s="670"/>
      <x:c r="BB153" s="670"/>
      <x:c r="BC153" s="670"/>
      <x:c r="BD153" s="671"/>
    </x:row>
    <x:row r="154" ht="19" customHeight="1">
      <x:c r="B154" s="668" t="str">
        <x:f>IF('CADASTRO DE LOJAS'!E78="SIM",'CADASTRO DE LOJAS'!B78,"")</x:f>
      </x:c>
      <x:c r="C154" s="670"/>
      <x:c r="D154" s="670"/>
      <x:c r="E154" s="670"/>
      <x:c r="F154" s="670"/>
      <x:c r="G154" s="670"/>
      <x:c r="H154" s="670"/>
      <x:c r="I154" s="670"/>
      <x:c r="J154" s="670"/>
      <x:c r="K154" s="670"/>
      <x:c r="L154" s="670"/>
      <x:c r="M154" s="670"/>
      <x:c r="N154" s="670"/>
      <x:c r="O154" s="670"/>
      <x:c r="P154" s="670"/>
      <x:c r="Q154" s="670"/>
      <x:c r="R154" s="670"/>
      <x:c r="S154" s="670"/>
      <x:c r="T154" s="670"/>
      <x:c r="U154" s="670"/>
      <x:c r="V154" s="670"/>
      <x:c r="W154" s="670"/>
      <x:c r="X154" s="670"/>
      <x:c r="Y154" s="670"/>
      <x:c r="Z154" s="670"/>
      <x:c r="AA154" s="670"/>
      <x:c r="AB154" s="670"/>
      <x:c r="AC154" s="670"/>
      <x:c r="AD154" s="670"/>
      <x:c r="AE154" s="670"/>
      <x:c r="AF154" s="670"/>
      <x:c r="AG154" s="670"/>
      <x:c r="AH154" s="670"/>
      <x:c r="AI154" s="670"/>
      <x:c r="AJ154" s="670"/>
      <x:c r="AK154" s="670"/>
      <x:c r="AL154" s="670"/>
      <x:c r="AM154" s="670"/>
      <x:c r="AN154" s="670"/>
      <x:c r="AO154" s="670"/>
      <x:c r="AP154" s="670"/>
      <x:c r="AQ154" s="670"/>
      <x:c r="AR154" s="670"/>
      <x:c r="AS154" s="670"/>
      <x:c r="AT154" s="670"/>
      <x:c r="AU154" s="670"/>
      <x:c r="AV154" s="670"/>
      <x:c r="AW154" s="670"/>
      <x:c r="AX154" s="670"/>
      <x:c r="AY154" s="670"/>
      <x:c r="AZ154" s="670"/>
      <x:c r="BA154" s="670"/>
      <x:c r="BB154" s="670"/>
      <x:c r="BC154" s="670"/>
      <x:c r="BD154" s="671"/>
    </x:row>
    <x:row r="155" ht="19" customHeight="1">
      <x:c r="B155" s="668" t="str">
        <x:f>IF('CADASTRO DE LOJAS'!E79="SIM",'CADASTRO DE LOJAS'!B79,"")</x:f>
      </x:c>
      <x:c r="C155" s="670"/>
      <x:c r="D155" s="670"/>
      <x:c r="E155" s="670"/>
      <x:c r="F155" s="670"/>
      <x:c r="G155" s="670"/>
      <x:c r="H155" s="670"/>
      <x:c r="I155" s="670"/>
      <x:c r="J155" s="670"/>
      <x:c r="K155" s="670"/>
      <x:c r="L155" s="670"/>
      <x:c r="M155" s="670"/>
      <x:c r="N155" s="670"/>
      <x:c r="O155" s="670"/>
      <x:c r="P155" s="670"/>
      <x:c r="Q155" s="670"/>
      <x:c r="R155" s="670"/>
      <x:c r="S155" s="670"/>
      <x:c r="T155" s="670"/>
      <x:c r="U155" s="670"/>
      <x:c r="V155" s="670"/>
      <x:c r="W155" s="670"/>
      <x:c r="X155" s="670"/>
      <x:c r="Y155" s="670"/>
      <x:c r="Z155" s="670"/>
      <x:c r="AA155" s="670"/>
      <x:c r="AB155" s="670"/>
      <x:c r="AC155" s="670"/>
      <x:c r="AD155" s="670"/>
      <x:c r="AE155" s="670"/>
      <x:c r="AF155" s="670"/>
      <x:c r="AG155" s="670"/>
      <x:c r="AH155" s="670"/>
      <x:c r="AI155" s="670"/>
      <x:c r="AJ155" s="670"/>
      <x:c r="AK155" s="670"/>
      <x:c r="AL155" s="670"/>
      <x:c r="AM155" s="670"/>
      <x:c r="AN155" s="670"/>
      <x:c r="AO155" s="670"/>
      <x:c r="AP155" s="670"/>
      <x:c r="AQ155" s="670"/>
      <x:c r="AR155" s="670"/>
      <x:c r="AS155" s="670"/>
      <x:c r="AT155" s="670"/>
      <x:c r="AU155" s="670"/>
      <x:c r="AV155" s="670"/>
      <x:c r="AW155" s="670"/>
      <x:c r="AX155" s="670"/>
      <x:c r="AY155" s="670"/>
      <x:c r="AZ155" s="670"/>
      <x:c r="BA155" s="670"/>
      <x:c r="BB155" s="670"/>
      <x:c r="BC155" s="670"/>
      <x:c r="BD155" s="671"/>
    </x:row>
    <x:row r="156" ht="19" customHeight="1">
      <x:c r="B156" s="668" t="str">
        <x:f>IF('CADASTRO DE LOJAS'!E80="SIM",'CADASTRO DE LOJAS'!B80,"")</x:f>
      </x:c>
      <x:c r="C156" s="670"/>
      <x:c r="D156" s="670"/>
      <x:c r="E156" s="670"/>
      <x:c r="F156" s="670"/>
      <x:c r="G156" s="670"/>
      <x:c r="H156" s="670"/>
      <x:c r="I156" s="670"/>
      <x:c r="J156" s="670"/>
      <x:c r="K156" s="670"/>
      <x:c r="L156" s="670"/>
      <x:c r="M156" s="670"/>
      <x:c r="N156" s="670"/>
      <x:c r="O156" s="670"/>
      <x:c r="P156" s="670"/>
      <x:c r="Q156" s="670"/>
      <x:c r="R156" s="670"/>
      <x:c r="S156" s="670"/>
      <x:c r="T156" s="670"/>
      <x:c r="U156" s="670"/>
      <x:c r="V156" s="670"/>
      <x:c r="W156" s="670"/>
      <x:c r="X156" s="670"/>
      <x:c r="Y156" s="670"/>
      <x:c r="Z156" s="670"/>
      <x:c r="AA156" s="670"/>
      <x:c r="AB156" s="670"/>
      <x:c r="AC156" s="670"/>
      <x:c r="AD156" s="670"/>
      <x:c r="AE156" s="670"/>
      <x:c r="AF156" s="670"/>
      <x:c r="AG156" s="670"/>
      <x:c r="AH156" s="670"/>
      <x:c r="AI156" s="670"/>
      <x:c r="AJ156" s="670"/>
      <x:c r="AK156" s="670"/>
      <x:c r="AL156" s="670"/>
      <x:c r="AM156" s="670"/>
      <x:c r="AN156" s="670"/>
      <x:c r="AO156" s="670"/>
      <x:c r="AP156" s="670"/>
      <x:c r="AQ156" s="670"/>
      <x:c r="AR156" s="670"/>
      <x:c r="AS156" s="670"/>
      <x:c r="AT156" s="670"/>
      <x:c r="AU156" s="670"/>
      <x:c r="AV156" s="670"/>
      <x:c r="AW156" s="670"/>
      <x:c r="AX156" s="670"/>
      <x:c r="AY156" s="670"/>
      <x:c r="AZ156" s="670"/>
      <x:c r="BA156" s="670"/>
      <x:c r="BB156" s="670"/>
      <x:c r="BC156" s="670"/>
      <x:c r="BD156" s="671"/>
    </x:row>
    <x:row r="157" ht="19" customHeight="1">
      <x:c r="B157" s="668" t="str">
        <x:f>IF('CADASTRO DE LOJAS'!E81="SIM",'CADASTRO DE LOJAS'!B81,"")</x:f>
      </x:c>
      <x:c r="C157" s="670"/>
      <x:c r="D157" s="670"/>
      <x:c r="E157" s="670"/>
      <x:c r="F157" s="670"/>
      <x:c r="G157" s="670"/>
      <x:c r="H157" s="670"/>
      <x:c r="I157" s="670"/>
      <x:c r="J157" s="670"/>
      <x:c r="K157" s="670"/>
      <x:c r="L157" s="670"/>
      <x:c r="M157" s="670"/>
      <x:c r="N157" s="670"/>
      <x:c r="O157" s="670"/>
      <x:c r="P157" s="670"/>
      <x:c r="Q157" s="670"/>
      <x:c r="R157" s="670"/>
      <x:c r="S157" s="670"/>
      <x:c r="T157" s="670"/>
      <x:c r="U157" s="670"/>
      <x:c r="V157" s="670"/>
      <x:c r="W157" s="670"/>
      <x:c r="X157" s="670"/>
      <x:c r="Y157" s="670"/>
      <x:c r="Z157" s="670"/>
      <x:c r="AA157" s="670"/>
      <x:c r="AB157" s="670"/>
      <x:c r="AC157" s="670"/>
      <x:c r="AD157" s="670"/>
      <x:c r="AE157" s="670"/>
      <x:c r="AF157" s="670"/>
      <x:c r="AG157" s="670"/>
      <x:c r="AH157" s="670"/>
      <x:c r="AI157" s="670"/>
      <x:c r="AJ157" s="670"/>
      <x:c r="AK157" s="670"/>
      <x:c r="AL157" s="670"/>
      <x:c r="AM157" s="670"/>
      <x:c r="AN157" s="670"/>
      <x:c r="AO157" s="670"/>
      <x:c r="AP157" s="670"/>
      <x:c r="AQ157" s="670"/>
      <x:c r="AR157" s="670"/>
      <x:c r="AS157" s="670"/>
      <x:c r="AT157" s="670"/>
      <x:c r="AU157" s="670"/>
      <x:c r="AV157" s="670"/>
      <x:c r="AW157" s="670"/>
      <x:c r="AX157" s="670"/>
      <x:c r="AY157" s="670"/>
      <x:c r="AZ157" s="670"/>
      <x:c r="BA157" s="670"/>
      <x:c r="BB157" s="670"/>
      <x:c r="BC157" s="670"/>
      <x:c r="BD157" s="671"/>
    </x:row>
    <x:row r="158" ht="19" customHeight="1">
      <x:c r="B158" s="668" t="str">
        <x:f>IF('CADASTRO DE LOJAS'!E82="SIM",'CADASTRO DE LOJAS'!B82,"")</x:f>
      </x:c>
      <x:c r="C158" s="670"/>
      <x:c r="D158" s="670"/>
      <x:c r="E158" s="670"/>
      <x:c r="F158" s="670"/>
      <x:c r="G158" s="670"/>
      <x:c r="H158" s="670"/>
      <x:c r="I158" s="670"/>
      <x:c r="J158" s="670"/>
      <x:c r="K158" s="670"/>
      <x:c r="L158" s="670"/>
      <x:c r="M158" s="670"/>
      <x:c r="N158" s="670"/>
      <x:c r="O158" s="670"/>
      <x:c r="P158" s="670"/>
      <x:c r="Q158" s="670"/>
      <x:c r="R158" s="670"/>
      <x:c r="S158" s="670"/>
      <x:c r="T158" s="670"/>
      <x:c r="U158" s="670"/>
      <x:c r="V158" s="670"/>
      <x:c r="W158" s="670"/>
      <x:c r="X158" s="670"/>
      <x:c r="Y158" s="670"/>
      <x:c r="Z158" s="670"/>
      <x:c r="AA158" s="670"/>
      <x:c r="AB158" s="670"/>
      <x:c r="AC158" s="670"/>
      <x:c r="AD158" s="670"/>
      <x:c r="AE158" s="670"/>
      <x:c r="AF158" s="670"/>
      <x:c r="AG158" s="670"/>
      <x:c r="AH158" s="670"/>
      <x:c r="AI158" s="670"/>
      <x:c r="AJ158" s="670"/>
      <x:c r="AK158" s="670"/>
      <x:c r="AL158" s="670"/>
      <x:c r="AM158" s="670"/>
      <x:c r="AN158" s="670"/>
      <x:c r="AO158" s="670"/>
      <x:c r="AP158" s="670"/>
      <x:c r="AQ158" s="670"/>
      <x:c r="AR158" s="670"/>
      <x:c r="AS158" s="670"/>
      <x:c r="AT158" s="670"/>
      <x:c r="AU158" s="670"/>
      <x:c r="AV158" s="670"/>
      <x:c r="AW158" s="670"/>
      <x:c r="AX158" s="670"/>
      <x:c r="AY158" s="670"/>
      <x:c r="AZ158" s="670"/>
      <x:c r="BA158" s="670"/>
      <x:c r="BB158" s="670"/>
      <x:c r="BC158" s="670"/>
      <x:c r="BD158" s="671"/>
    </x:row>
    <x:row r="159" ht="19" customHeight="1">
      <x:c r="B159" s="668" t="str">
        <x:f>IF('CADASTRO DE LOJAS'!E83="SIM",'CADASTRO DE LOJAS'!B83,"")</x:f>
      </x:c>
      <x:c r="C159" s="670"/>
      <x:c r="D159" s="670"/>
      <x:c r="E159" s="670"/>
      <x:c r="F159" s="670"/>
      <x:c r="G159" s="670"/>
      <x:c r="H159" s="670"/>
      <x:c r="I159" s="670"/>
      <x:c r="J159" s="670"/>
      <x:c r="K159" s="670"/>
      <x:c r="L159" s="670"/>
      <x:c r="M159" s="670"/>
      <x:c r="N159" s="670"/>
      <x:c r="O159" s="670"/>
      <x:c r="P159" s="670"/>
      <x:c r="Q159" s="670"/>
      <x:c r="R159" s="670"/>
      <x:c r="S159" s="670"/>
      <x:c r="T159" s="670"/>
      <x:c r="U159" s="670"/>
      <x:c r="V159" s="670"/>
      <x:c r="W159" s="670"/>
      <x:c r="X159" s="670"/>
      <x:c r="Y159" s="670"/>
      <x:c r="Z159" s="670"/>
      <x:c r="AA159" s="670"/>
      <x:c r="AB159" s="670"/>
      <x:c r="AC159" s="670"/>
      <x:c r="AD159" s="670"/>
      <x:c r="AE159" s="670"/>
      <x:c r="AF159" s="670"/>
      <x:c r="AG159" s="670"/>
      <x:c r="AH159" s="670"/>
      <x:c r="AI159" s="670"/>
      <x:c r="AJ159" s="670"/>
      <x:c r="AK159" s="670"/>
      <x:c r="AL159" s="670"/>
      <x:c r="AM159" s="670"/>
      <x:c r="AN159" s="670"/>
      <x:c r="AO159" s="670"/>
      <x:c r="AP159" s="670"/>
      <x:c r="AQ159" s="670"/>
      <x:c r="AR159" s="670"/>
      <x:c r="AS159" s="670"/>
      <x:c r="AT159" s="670"/>
      <x:c r="AU159" s="670"/>
      <x:c r="AV159" s="670"/>
      <x:c r="AW159" s="670"/>
      <x:c r="AX159" s="670"/>
      <x:c r="AY159" s="670"/>
      <x:c r="AZ159" s="670"/>
      <x:c r="BA159" s="670"/>
      <x:c r="BB159" s="670"/>
      <x:c r="BC159" s="670"/>
      <x:c r="BD159" s="671"/>
    </x:row>
    <x:row r="160" ht="19" customHeight="1">
      <x:c r="B160" s="668" t="str">
        <x:f>IF('CADASTRO DE LOJAS'!E84="SIM",'CADASTRO DE LOJAS'!B84,"")</x:f>
      </x:c>
      <x:c r="C160" s="670"/>
      <x:c r="D160" s="670"/>
      <x:c r="E160" s="670"/>
      <x:c r="F160" s="670"/>
      <x:c r="G160" s="670"/>
      <x:c r="H160" s="670"/>
      <x:c r="I160" s="670"/>
      <x:c r="J160" s="670"/>
      <x:c r="K160" s="670"/>
      <x:c r="L160" s="670"/>
      <x:c r="M160" s="670"/>
      <x:c r="N160" s="670"/>
      <x:c r="O160" s="670"/>
      <x:c r="P160" s="670"/>
      <x:c r="Q160" s="670"/>
      <x:c r="R160" s="670"/>
      <x:c r="S160" s="670"/>
      <x:c r="T160" s="670"/>
      <x:c r="U160" s="670"/>
      <x:c r="V160" s="670"/>
      <x:c r="W160" s="670"/>
      <x:c r="X160" s="670"/>
      <x:c r="Y160" s="670"/>
      <x:c r="Z160" s="670"/>
      <x:c r="AA160" s="670"/>
      <x:c r="AB160" s="670"/>
      <x:c r="AC160" s="670"/>
      <x:c r="AD160" s="670"/>
      <x:c r="AE160" s="670"/>
      <x:c r="AF160" s="670"/>
      <x:c r="AG160" s="670"/>
      <x:c r="AH160" s="670"/>
      <x:c r="AI160" s="670"/>
      <x:c r="AJ160" s="670"/>
      <x:c r="AK160" s="670"/>
      <x:c r="AL160" s="670"/>
      <x:c r="AM160" s="670"/>
      <x:c r="AN160" s="670"/>
      <x:c r="AO160" s="670"/>
      <x:c r="AP160" s="670"/>
      <x:c r="AQ160" s="670"/>
      <x:c r="AR160" s="670"/>
      <x:c r="AS160" s="670"/>
      <x:c r="AT160" s="670"/>
      <x:c r="AU160" s="670"/>
      <x:c r="AV160" s="670"/>
      <x:c r="AW160" s="670"/>
      <x:c r="AX160" s="670"/>
      <x:c r="AY160" s="670"/>
      <x:c r="AZ160" s="670"/>
      <x:c r="BA160" s="670"/>
      <x:c r="BB160" s="670"/>
      <x:c r="BC160" s="670"/>
      <x:c r="BD160" s="671"/>
    </x:row>
    <x:row r="161" ht="19" customHeight="1">
      <x:c r="B161" s="668" t="str">
        <x:f>IF('CADASTRO DE LOJAS'!E85="SIM",'CADASTRO DE LOJAS'!B85,"")</x:f>
      </x:c>
      <x:c r="C161" s="670"/>
      <x:c r="D161" s="670"/>
      <x:c r="E161" s="670"/>
      <x:c r="F161" s="670"/>
      <x:c r="G161" s="670"/>
      <x:c r="H161" s="670"/>
      <x:c r="I161" s="670"/>
      <x:c r="J161" s="670"/>
      <x:c r="K161" s="670"/>
      <x:c r="L161" s="670"/>
      <x:c r="M161" s="670"/>
      <x:c r="N161" s="670"/>
      <x:c r="O161" s="670"/>
      <x:c r="P161" s="670"/>
      <x:c r="Q161" s="670"/>
      <x:c r="R161" s="670"/>
      <x:c r="S161" s="670"/>
      <x:c r="T161" s="670"/>
      <x:c r="U161" s="670"/>
      <x:c r="V161" s="670"/>
      <x:c r="W161" s="670"/>
      <x:c r="X161" s="670"/>
      <x:c r="Y161" s="670"/>
      <x:c r="Z161" s="670"/>
      <x:c r="AA161" s="670"/>
      <x:c r="AB161" s="670"/>
      <x:c r="AC161" s="670"/>
      <x:c r="AD161" s="670"/>
      <x:c r="AE161" s="670"/>
      <x:c r="AF161" s="670"/>
      <x:c r="AG161" s="670"/>
      <x:c r="AH161" s="670"/>
      <x:c r="AI161" s="670"/>
      <x:c r="AJ161" s="670"/>
      <x:c r="AK161" s="670"/>
      <x:c r="AL161" s="670"/>
      <x:c r="AM161" s="670"/>
      <x:c r="AN161" s="670"/>
      <x:c r="AO161" s="670"/>
      <x:c r="AP161" s="670"/>
      <x:c r="AQ161" s="670"/>
      <x:c r="AR161" s="670"/>
      <x:c r="AS161" s="670"/>
      <x:c r="AT161" s="670"/>
      <x:c r="AU161" s="670"/>
      <x:c r="AV161" s="670"/>
      <x:c r="AW161" s="670"/>
      <x:c r="AX161" s="670"/>
      <x:c r="AY161" s="670"/>
      <x:c r="AZ161" s="670"/>
      <x:c r="BA161" s="670"/>
      <x:c r="BB161" s="670"/>
      <x:c r="BC161" s="670"/>
      <x:c r="BD161" s="671"/>
    </x:row>
    <x:row r="162" ht="19" customHeight="1">
      <x:c r="B162" s="668" t="str">
        <x:f>IF('CADASTRO DE LOJAS'!E86="SIM",'CADASTRO DE LOJAS'!B86,"")</x:f>
      </x:c>
      <x:c r="C162" s="670"/>
      <x:c r="D162" s="670"/>
      <x:c r="E162" s="670"/>
      <x:c r="F162" s="670"/>
      <x:c r="G162" s="670"/>
      <x:c r="H162" s="670"/>
      <x:c r="I162" s="670"/>
      <x:c r="J162" s="670"/>
      <x:c r="K162" s="670"/>
      <x:c r="L162" s="670"/>
      <x:c r="M162" s="670"/>
      <x:c r="N162" s="670"/>
      <x:c r="O162" s="670"/>
      <x:c r="P162" s="670"/>
      <x:c r="Q162" s="670"/>
      <x:c r="R162" s="670"/>
      <x:c r="S162" s="670"/>
      <x:c r="T162" s="670"/>
      <x:c r="U162" s="670"/>
      <x:c r="V162" s="670"/>
      <x:c r="W162" s="670"/>
      <x:c r="X162" s="670"/>
      <x:c r="Y162" s="670"/>
      <x:c r="Z162" s="670"/>
      <x:c r="AA162" s="670"/>
      <x:c r="AB162" s="670"/>
      <x:c r="AC162" s="670"/>
      <x:c r="AD162" s="670"/>
      <x:c r="AE162" s="670"/>
      <x:c r="AF162" s="670"/>
      <x:c r="AG162" s="670"/>
      <x:c r="AH162" s="670"/>
      <x:c r="AI162" s="670"/>
      <x:c r="AJ162" s="670"/>
      <x:c r="AK162" s="670"/>
      <x:c r="AL162" s="670"/>
      <x:c r="AM162" s="670"/>
      <x:c r="AN162" s="670"/>
      <x:c r="AO162" s="670"/>
      <x:c r="AP162" s="670"/>
      <x:c r="AQ162" s="670"/>
      <x:c r="AR162" s="670"/>
      <x:c r="AS162" s="670"/>
      <x:c r="AT162" s="670"/>
      <x:c r="AU162" s="670"/>
      <x:c r="AV162" s="670"/>
      <x:c r="AW162" s="670"/>
      <x:c r="AX162" s="670"/>
      <x:c r="AY162" s="670"/>
      <x:c r="AZ162" s="670"/>
      <x:c r="BA162" s="670"/>
      <x:c r="BB162" s="670"/>
      <x:c r="BC162" s="670"/>
      <x:c r="BD162" s="671"/>
    </x:row>
    <x:row r="163" ht="19" customHeight="1">
      <x:c r="B163" s="668" t="str">
        <x:f>IF('CADASTRO DE LOJAS'!E87="SIM",'CADASTRO DE LOJAS'!B87,"")</x:f>
      </x:c>
      <x:c r="C163" s="670"/>
      <x:c r="D163" s="670"/>
      <x:c r="E163" s="670"/>
      <x:c r="F163" s="670"/>
      <x:c r="G163" s="670"/>
      <x:c r="H163" s="670"/>
      <x:c r="I163" s="670"/>
      <x:c r="J163" s="670"/>
      <x:c r="K163" s="670"/>
      <x:c r="L163" s="670"/>
      <x:c r="M163" s="670"/>
      <x:c r="N163" s="670"/>
      <x:c r="O163" s="670"/>
      <x:c r="P163" s="670"/>
      <x:c r="Q163" s="670"/>
      <x:c r="R163" s="670"/>
      <x:c r="S163" s="670"/>
      <x:c r="T163" s="670"/>
      <x:c r="U163" s="670"/>
      <x:c r="V163" s="670"/>
      <x:c r="W163" s="670"/>
      <x:c r="X163" s="670"/>
      <x:c r="Y163" s="670"/>
      <x:c r="Z163" s="670"/>
      <x:c r="AA163" s="670"/>
      <x:c r="AB163" s="670"/>
      <x:c r="AC163" s="670"/>
      <x:c r="AD163" s="670"/>
      <x:c r="AE163" s="670"/>
      <x:c r="AF163" s="670"/>
      <x:c r="AG163" s="670"/>
      <x:c r="AH163" s="670"/>
      <x:c r="AI163" s="670"/>
      <x:c r="AJ163" s="670"/>
      <x:c r="AK163" s="670"/>
      <x:c r="AL163" s="670"/>
      <x:c r="AM163" s="670"/>
      <x:c r="AN163" s="670"/>
      <x:c r="AO163" s="670"/>
      <x:c r="AP163" s="670"/>
      <x:c r="AQ163" s="670"/>
      <x:c r="AR163" s="670"/>
      <x:c r="AS163" s="670"/>
      <x:c r="AT163" s="670"/>
      <x:c r="AU163" s="670"/>
      <x:c r="AV163" s="670"/>
      <x:c r="AW163" s="670"/>
      <x:c r="AX163" s="670"/>
      <x:c r="AY163" s="670"/>
      <x:c r="AZ163" s="670"/>
      <x:c r="BA163" s="670"/>
      <x:c r="BB163" s="670"/>
      <x:c r="BC163" s="670"/>
      <x:c r="BD163" s="671"/>
    </x:row>
    <x:row r="164" ht="19" customHeight="1">
      <x:c r="B164" s="668" t="str">
        <x:f>IF('CADASTRO DE LOJAS'!E88="SIM",'CADASTRO DE LOJAS'!B88,"")</x:f>
      </x:c>
      <x:c r="C164" s="670"/>
      <x:c r="D164" s="670"/>
      <x:c r="E164" s="670"/>
      <x:c r="F164" s="670"/>
      <x:c r="G164" s="670"/>
      <x:c r="H164" s="670"/>
      <x:c r="I164" s="670"/>
      <x:c r="J164" s="670"/>
      <x:c r="K164" s="670"/>
      <x:c r="L164" s="670"/>
      <x:c r="M164" s="670"/>
      <x:c r="N164" s="670"/>
      <x:c r="O164" s="670"/>
      <x:c r="P164" s="670"/>
      <x:c r="Q164" s="670"/>
      <x:c r="R164" s="670"/>
      <x:c r="S164" s="670"/>
      <x:c r="T164" s="670"/>
      <x:c r="U164" s="670"/>
      <x:c r="V164" s="670"/>
      <x:c r="W164" s="670"/>
      <x:c r="X164" s="670"/>
      <x:c r="Y164" s="670"/>
      <x:c r="Z164" s="670"/>
      <x:c r="AA164" s="670"/>
      <x:c r="AB164" s="670"/>
      <x:c r="AC164" s="670"/>
      <x:c r="AD164" s="670"/>
      <x:c r="AE164" s="670"/>
      <x:c r="AF164" s="670"/>
      <x:c r="AG164" s="670"/>
      <x:c r="AH164" s="670"/>
      <x:c r="AI164" s="670"/>
      <x:c r="AJ164" s="670"/>
      <x:c r="AK164" s="670"/>
      <x:c r="AL164" s="670"/>
      <x:c r="AM164" s="670"/>
      <x:c r="AN164" s="670"/>
      <x:c r="AO164" s="670"/>
      <x:c r="AP164" s="670"/>
      <x:c r="AQ164" s="670"/>
      <x:c r="AR164" s="670"/>
      <x:c r="AS164" s="670"/>
      <x:c r="AT164" s="670"/>
      <x:c r="AU164" s="670"/>
      <x:c r="AV164" s="670"/>
      <x:c r="AW164" s="670"/>
      <x:c r="AX164" s="670"/>
      <x:c r="AY164" s="670"/>
      <x:c r="AZ164" s="670"/>
      <x:c r="BA164" s="670"/>
      <x:c r="BB164" s="670"/>
      <x:c r="BC164" s="670"/>
      <x:c r="BD164" s="671"/>
    </x:row>
    <x:row r="165" ht="19" customHeight="1">
      <x:c r="B165" s="668" t="str">
        <x:f>IF('CADASTRO DE LOJAS'!E89="SIM",'CADASTRO DE LOJAS'!B89,"")</x:f>
      </x:c>
      <x:c r="C165" s="670"/>
      <x:c r="D165" s="670"/>
      <x:c r="E165" s="670"/>
      <x:c r="F165" s="670"/>
      <x:c r="G165" s="670"/>
      <x:c r="H165" s="670"/>
      <x:c r="I165" s="670"/>
      <x:c r="J165" s="670"/>
      <x:c r="K165" s="670"/>
      <x:c r="L165" s="670"/>
      <x:c r="M165" s="670"/>
      <x:c r="N165" s="670"/>
      <x:c r="O165" s="670"/>
      <x:c r="P165" s="670"/>
      <x:c r="Q165" s="670"/>
      <x:c r="R165" s="670"/>
      <x:c r="S165" s="670"/>
      <x:c r="T165" s="670"/>
      <x:c r="U165" s="670"/>
      <x:c r="V165" s="670"/>
      <x:c r="W165" s="670"/>
      <x:c r="X165" s="670"/>
      <x:c r="Y165" s="670"/>
      <x:c r="Z165" s="670"/>
      <x:c r="AA165" s="670"/>
      <x:c r="AB165" s="670"/>
      <x:c r="AC165" s="670"/>
      <x:c r="AD165" s="670"/>
      <x:c r="AE165" s="670"/>
      <x:c r="AF165" s="670"/>
      <x:c r="AG165" s="670"/>
      <x:c r="AH165" s="670"/>
      <x:c r="AI165" s="670"/>
      <x:c r="AJ165" s="670"/>
      <x:c r="AK165" s="670"/>
      <x:c r="AL165" s="670"/>
      <x:c r="AM165" s="670"/>
      <x:c r="AN165" s="670"/>
      <x:c r="AO165" s="670"/>
      <x:c r="AP165" s="670"/>
      <x:c r="AQ165" s="670"/>
      <x:c r="AR165" s="670"/>
      <x:c r="AS165" s="670"/>
      <x:c r="AT165" s="670"/>
      <x:c r="AU165" s="670"/>
      <x:c r="AV165" s="670"/>
      <x:c r="AW165" s="670"/>
      <x:c r="AX165" s="670"/>
      <x:c r="AY165" s="670"/>
      <x:c r="AZ165" s="670"/>
      <x:c r="BA165" s="670"/>
      <x:c r="BB165" s="670"/>
      <x:c r="BC165" s="670"/>
      <x:c r="BD165" s="671"/>
    </x:row>
    <x:row r="166" ht="19" customHeight="1">
      <x:c r="B166" s="668" t="str">
        <x:f>IF('CADASTRO DE LOJAS'!E90="SIM",'CADASTRO DE LOJAS'!B90,"")</x:f>
      </x:c>
      <x:c r="C166" s="670"/>
      <x:c r="D166" s="670"/>
      <x:c r="E166" s="670"/>
      <x:c r="F166" s="670"/>
      <x:c r="G166" s="670"/>
      <x:c r="H166" s="670"/>
      <x:c r="I166" s="670"/>
      <x:c r="J166" s="670"/>
      <x:c r="K166" s="670"/>
      <x:c r="L166" s="670"/>
      <x:c r="M166" s="670"/>
      <x:c r="N166" s="670"/>
      <x:c r="O166" s="670"/>
      <x:c r="P166" s="670"/>
      <x:c r="Q166" s="670"/>
      <x:c r="R166" s="670"/>
      <x:c r="S166" s="670"/>
      <x:c r="T166" s="670"/>
      <x:c r="U166" s="670"/>
      <x:c r="V166" s="670"/>
      <x:c r="W166" s="670"/>
      <x:c r="X166" s="670"/>
      <x:c r="Y166" s="670"/>
      <x:c r="Z166" s="670"/>
      <x:c r="AA166" s="670"/>
      <x:c r="AB166" s="670"/>
      <x:c r="AC166" s="670"/>
      <x:c r="AD166" s="670"/>
      <x:c r="AE166" s="670"/>
      <x:c r="AF166" s="670"/>
      <x:c r="AG166" s="670"/>
      <x:c r="AH166" s="670"/>
      <x:c r="AI166" s="670"/>
      <x:c r="AJ166" s="670"/>
      <x:c r="AK166" s="670"/>
      <x:c r="AL166" s="670"/>
      <x:c r="AM166" s="670"/>
      <x:c r="AN166" s="670"/>
      <x:c r="AO166" s="670"/>
      <x:c r="AP166" s="670"/>
      <x:c r="AQ166" s="670"/>
      <x:c r="AR166" s="670"/>
      <x:c r="AS166" s="670"/>
      <x:c r="AT166" s="670"/>
      <x:c r="AU166" s="670"/>
      <x:c r="AV166" s="670"/>
      <x:c r="AW166" s="670"/>
      <x:c r="AX166" s="670"/>
      <x:c r="AY166" s="670"/>
      <x:c r="AZ166" s="670"/>
      <x:c r="BA166" s="670"/>
      <x:c r="BB166" s="670"/>
      <x:c r="BC166" s="670"/>
      <x:c r="BD166" s="671"/>
    </x:row>
    <x:row r="167" ht="19" customHeight="1">
      <x:c r="B167" s="668" t="str">
        <x:f>IF('CADASTRO DE LOJAS'!E91="SIM",'CADASTRO DE LOJAS'!B91,"")</x:f>
      </x:c>
      <x:c r="C167" s="670"/>
      <x:c r="D167" s="670"/>
      <x:c r="E167" s="670"/>
      <x:c r="F167" s="670"/>
      <x:c r="G167" s="670"/>
      <x:c r="H167" s="670"/>
      <x:c r="I167" s="670"/>
      <x:c r="J167" s="670"/>
      <x:c r="K167" s="670"/>
      <x:c r="L167" s="670"/>
      <x:c r="M167" s="670"/>
      <x:c r="N167" s="670"/>
      <x:c r="O167" s="670"/>
      <x:c r="P167" s="670"/>
      <x:c r="Q167" s="670"/>
      <x:c r="R167" s="670"/>
      <x:c r="S167" s="670"/>
      <x:c r="T167" s="670"/>
      <x:c r="U167" s="670"/>
      <x:c r="V167" s="670"/>
      <x:c r="W167" s="670"/>
      <x:c r="X167" s="670"/>
      <x:c r="Y167" s="670"/>
      <x:c r="Z167" s="670"/>
      <x:c r="AA167" s="670"/>
      <x:c r="AB167" s="670"/>
      <x:c r="AC167" s="670"/>
      <x:c r="AD167" s="670"/>
      <x:c r="AE167" s="670"/>
      <x:c r="AF167" s="670"/>
      <x:c r="AG167" s="670"/>
      <x:c r="AH167" s="670"/>
      <x:c r="AI167" s="670"/>
      <x:c r="AJ167" s="670"/>
      <x:c r="AK167" s="670"/>
      <x:c r="AL167" s="670"/>
      <x:c r="AM167" s="670"/>
      <x:c r="AN167" s="670"/>
      <x:c r="AO167" s="670"/>
      <x:c r="AP167" s="670"/>
      <x:c r="AQ167" s="670"/>
      <x:c r="AR167" s="670"/>
      <x:c r="AS167" s="670"/>
      <x:c r="AT167" s="670"/>
      <x:c r="AU167" s="670"/>
      <x:c r="AV167" s="670"/>
      <x:c r="AW167" s="670"/>
      <x:c r="AX167" s="670"/>
      <x:c r="AY167" s="670"/>
      <x:c r="AZ167" s="670"/>
      <x:c r="BA167" s="670"/>
      <x:c r="BB167" s="670"/>
      <x:c r="BC167" s="670"/>
      <x:c r="BD167" s="671"/>
    </x:row>
    <x:row r="168" ht="19" customHeight="1">
      <x:c r="B168" s="668" t="str">
        <x:f>IF('CADASTRO DE LOJAS'!E92="SIM",'CADASTRO DE LOJAS'!B92,"")</x:f>
      </x:c>
      <x:c r="C168" s="670"/>
      <x:c r="D168" s="670"/>
      <x:c r="E168" s="670"/>
      <x:c r="F168" s="670"/>
      <x:c r="G168" s="670"/>
      <x:c r="H168" s="670"/>
      <x:c r="I168" s="670"/>
      <x:c r="J168" s="670"/>
      <x:c r="K168" s="670"/>
      <x:c r="L168" s="670"/>
      <x:c r="M168" s="670"/>
      <x:c r="N168" s="670"/>
      <x:c r="O168" s="670"/>
      <x:c r="P168" s="670"/>
      <x:c r="Q168" s="670"/>
      <x:c r="R168" s="670"/>
      <x:c r="S168" s="670"/>
      <x:c r="T168" s="670"/>
      <x:c r="U168" s="670"/>
      <x:c r="V168" s="670"/>
      <x:c r="W168" s="670"/>
      <x:c r="X168" s="670"/>
      <x:c r="Y168" s="670"/>
      <x:c r="Z168" s="670"/>
      <x:c r="AA168" s="670"/>
      <x:c r="AB168" s="670"/>
      <x:c r="AC168" s="670"/>
      <x:c r="AD168" s="670"/>
      <x:c r="AE168" s="670"/>
      <x:c r="AF168" s="670"/>
      <x:c r="AG168" s="670"/>
      <x:c r="AH168" s="670"/>
      <x:c r="AI168" s="670"/>
      <x:c r="AJ168" s="670"/>
      <x:c r="AK168" s="670"/>
      <x:c r="AL168" s="670"/>
      <x:c r="AM168" s="670"/>
      <x:c r="AN168" s="670"/>
      <x:c r="AO168" s="670"/>
      <x:c r="AP168" s="670"/>
      <x:c r="AQ168" s="670"/>
      <x:c r="AR168" s="670"/>
      <x:c r="AS168" s="670"/>
      <x:c r="AT168" s="670"/>
      <x:c r="AU168" s="670"/>
      <x:c r="AV168" s="670"/>
      <x:c r="AW168" s="670"/>
      <x:c r="AX168" s="670"/>
      <x:c r="AY168" s="670"/>
      <x:c r="AZ168" s="670"/>
      <x:c r="BA168" s="670"/>
      <x:c r="BB168" s="670"/>
      <x:c r="BC168" s="670"/>
      <x:c r="BD168" s="671"/>
    </x:row>
    <x:row r="169" ht="19" customHeight="1">
      <x:c r="B169" s="668" t="str">
        <x:f>IF('CADASTRO DE LOJAS'!E93="SIM",'CADASTRO DE LOJAS'!B93,"")</x:f>
      </x:c>
      <x:c r="C169" s="670"/>
      <x:c r="D169" s="670"/>
      <x:c r="E169" s="670"/>
      <x:c r="F169" s="670"/>
      <x:c r="G169" s="670"/>
      <x:c r="H169" s="670"/>
      <x:c r="I169" s="670"/>
      <x:c r="J169" s="670"/>
      <x:c r="K169" s="670"/>
      <x:c r="L169" s="670"/>
      <x:c r="M169" s="670"/>
      <x:c r="N169" s="670"/>
      <x:c r="O169" s="670"/>
      <x:c r="P169" s="670"/>
      <x:c r="Q169" s="670"/>
      <x:c r="R169" s="670"/>
      <x:c r="S169" s="670"/>
      <x:c r="T169" s="670"/>
      <x:c r="U169" s="670"/>
      <x:c r="V169" s="670"/>
      <x:c r="W169" s="670"/>
      <x:c r="X169" s="670"/>
      <x:c r="Y169" s="670"/>
      <x:c r="Z169" s="670"/>
      <x:c r="AA169" s="670"/>
      <x:c r="AB169" s="670"/>
      <x:c r="AC169" s="670"/>
      <x:c r="AD169" s="670"/>
      <x:c r="AE169" s="670"/>
      <x:c r="AF169" s="670"/>
      <x:c r="AG169" s="670"/>
      <x:c r="AH169" s="670"/>
      <x:c r="AI169" s="670"/>
      <x:c r="AJ169" s="670"/>
      <x:c r="AK169" s="670"/>
      <x:c r="AL169" s="670"/>
      <x:c r="AM169" s="670"/>
      <x:c r="AN169" s="670"/>
      <x:c r="AO169" s="670"/>
      <x:c r="AP169" s="670"/>
      <x:c r="AQ169" s="670"/>
      <x:c r="AR169" s="670"/>
      <x:c r="AS169" s="670"/>
      <x:c r="AT169" s="670"/>
      <x:c r="AU169" s="670"/>
      <x:c r="AV169" s="670"/>
      <x:c r="AW169" s="670"/>
      <x:c r="AX169" s="670"/>
      <x:c r="AY169" s="670"/>
      <x:c r="AZ169" s="670"/>
      <x:c r="BA169" s="670"/>
      <x:c r="BB169" s="670"/>
      <x:c r="BC169" s="670"/>
      <x:c r="BD169" s="671"/>
    </x:row>
    <x:row r="170" ht="19" customHeight="1">
      <x:c r="B170" s="668" t="str">
        <x:f>IF('CADASTRO DE LOJAS'!E94="SIM",'CADASTRO DE LOJAS'!B94,"")</x:f>
      </x:c>
      <x:c r="C170" s="670"/>
      <x:c r="D170" s="670"/>
      <x:c r="E170" s="670"/>
      <x:c r="F170" s="670"/>
      <x:c r="G170" s="670"/>
      <x:c r="H170" s="670"/>
      <x:c r="I170" s="670"/>
      <x:c r="J170" s="670"/>
      <x:c r="K170" s="670"/>
      <x:c r="L170" s="670"/>
      <x:c r="M170" s="670"/>
      <x:c r="N170" s="670"/>
      <x:c r="O170" s="670"/>
      <x:c r="P170" s="670"/>
      <x:c r="Q170" s="670"/>
      <x:c r="R170" s="670"/>
      <x:c r="S170" s="670"/>
      <x:c r="T170" s="670"/>
      <x:c r="U170" s="670"/>
      <x:c r="V170" s="670"/>
      <x:c r="W170" s="670"/>
      <x:c r="X170" s="670"/>
      <x:c r="Y170" s="670"/>
      <x:c r="Z170" s="670"/>
      <x:c r="AA170" s="670"/>
      <x:c r="AB170" s="670"/>
      <x:c r="AC170" s="670"/>
      <x:c r="AD170" s="670"/>
      <x:c r="AE170" s="670"/>
      <x:c r="AF170" s="670"/>
      <x:c r="AG170" s="670"/>
      <x:c r="AH170" s="670"/>
      <x:c r="AI170" s="670"/>
      <x:c r="AJ170" s="670"/>
      <x:c r="AK170" s="670"/>
      <x:c r="AL170" s="670"/>
      <x:c r="AM170" s="670"/>
      <x:c r="AN170" s="670"/>
      <x:c r="AO170" s="670"/>
      <x:c r="AP170" s="670"/>
      <x:c r="AQ170" s="670"/>
      <x:c r="AR170" s="670"/>
      <x:c r="AS170" s="670"/>
      <x:c r="AT170" s="670"/>
      <x:c r="AU170" s="670"/>
      <x:c r="AV170" s="670"/>
      <x:c r="AW170" s="670"/>
      <x:c r="AX170" s="670"/>
      <x:c r="AY170" s="670"/>
      <x:c r="AZ170" s="670"/>
      <x:c r="BA170" s="670"/>
      <x:c r="BB170" s="670"/>
      <x:c r="BC170" s="670"/>
      <x:c r="BD170" s="671"/>
    </x:row>
    <x:row r="171" ht="19" customHeight="1">
      <x:c r="B171" s="668" t="str">
        <x:f>IF('CADASTRO DE LOJAS'!E95="SIM",'CADASTRO DE LOJAS'!B95,"")</x:f>
      </x:c>
      <x:c r="C171" s="670"/>
      <x:c r="D171" s="670"/>
      <x:c r="E171" s="670"/>
      <x:c r="F171" s="670"/>
      <x:c r="G171" s="670"/>
      <x:c r="H171" s="670"/>
      <x:c r="I171" s="670"/>
      <x:c r="J171" s="670"/>
      <x:c r="K171" s="670"/>
      <x:c r="L171" s="670"/>
      <x:c r="M171" s="670"/>
      <x:c r="N171" s="670"/>
      <x:c r="O171" s="670"/>
      <x:c r="P171" s="670"/>
      <x:c r="Q171" s="670"/>
      <x:c r="R171" s="670"/>
      <x:c r="S171" s="670"/>
      <x:c r="T171" s="670"/>
      <x:c r="U171" s="670"/>
      <x:c r="V171" s="670"/>
      <x:c r="W171" s="670"/>
      <x:c r="X171" s="670"/>
      <x:c r="Y171" s="670"/>
      <x:c r="Z171" s="670"/>
      <x:c r="AA171" s="670"/>
      <x:c r="AB171" s="670"/>
      <x:c r="AC171" s="670"/>
      <x:c r="AD171" s="670"/>
      <x:c r="AE171" s="670"/>
      <x:c r="AF171" s="670"/>
      <x:c r="AG171" s="670"/>
      <x:c r="AH171" s="670"/>
      <x:c r="AI171" s="670"/>
      <x:c r="AJ171" s="670"/>
      <x:c r="AK171" s="670"/>
      <x:c r="AL171" s="670"/>
      <x:c r="AM171" s="670"/>
      <x:c r="AN171" s="670"/>
      <x:c r="AO171" s="670"/>
      <x:c r="AP171" s="670"/>
      <x:c r="AQ171" s="670"/>
      <x:c r="AR171" s="670"/>
      <x:c r="AS171" s="670"/>
      <x:c r="AT171" s="670"/>
      <x:c r="AU171" s="670"/>
      <x:c r="AV171" s="670"/>
      <x:c r="AW171" s="670"/>
      <x:c r="AX171" s="670"/>
      <x:c r="AY171" s="670"/>
      <x:c r="AZ171" s="670"/>
      <x:c r="BA171" s="670"/>
      <x:c r="BB171" s="670"/>
      <x:c r="BC171" s="670"/>
      <x:c r="BD171" s="671"/>
    </x:row>
    <x:row r="172" ht="19" customHeight="1">
      <x:c r="B172" s="668" t="str">
        <x:f>IF('CADASTRO DE LOJAS'!E96="SIM",'CADASTRO DE LOJAS'!B96,"")</x:f>
      </x:c>
      <x:c r="C172" s="670"/>
      <x:c r="D172" s="670"/>
      <x:c r="E172" s="670"/>
      <x:c r="F172" s="670"/>
      <x:c r="G172" s="670"/>
      <x:c r="H172" s="670"/>
      <x:c r="I172" s="670"/>
      <x:c r="J172" s="670"/>
      <x:c r="K172" s="670"/>
      <x:c r="L172" s="670"/>
      <x:c r="M172" s="670"/>
      <x:c r="N172" s="670"/>
      <x:c r="O172" s="670"/>
      <x:c r="P172" s="670"/>
      <x:c r="Q172" s="670"/>
      <x:c r="R172" s="670"/>
      <x:c r="S172" s="670"/>
      <x:c r="T172" s="670"/>
      <x:c r="U172" s="670"/>
      <x:c r="V172" s="670"/>
      <x:c r="W172" s="670"/>
      <x:c r="X172" s="670"/>
      <x:c r="Y172" s="670"/>
      <x:c r="Z172" s="670"/>
      <x:c r="AA172" s="670"/>
      <x:c r="AB172" s="670"/>
      <x:c r="AC172" s="670"/>
      <x:c r="AD172" s="670"/>
      <x:c r="AE172" s="670"/>
      <x:c r="AF172" s="670"/>
      <x:c r="AG172" s="670"/>
      <x:c r="AH172" s="670"/>
      <x:c r="AI172" s="670"/>
      <x:c r="AJ172" s="670"/>
      <x:c r="AK172" s="670"/>
      <x:c r="AL172" s="670"/>
      <x:c r="AM172" s="670"/>
      <x:c r="AN172" s="670"/>
      <x:c r="AO172" s="670"/>
      <x:c r="AP172" s="670"/>
      <x:c r="AQ172" s="670"/>
      <x:c r="AR172" s="670"/>
      <x:c r="AS172" s="670"/>
      <x:c r="AT172" s="670"/>
      <x:c r="AU172" s="670"/>
      <x:c r="AV172" s="670"/>
      <x:c r="AW172" s="670"/>
      <x:c r="AX172" s="670"/>
      <x:c r="AY172" s="670"/>
      <x:c r="AZ172" s="670"/>
      <x:c r="BA172" s="670"/>
      <x:c r="BB172" s="670"/>
      <x:c r="BC172" s="670"/>
      <x:c r="BD172" s="671"/>
    </x:row>
    <x:row r="173" ht="19" customHeight="1">
      <x:c r="B173" s="668" t="str">
        <x:f>IF('CADASTRO DE LOJAS'!E97="SIM",'CADASTRO DE LOJAS'!B97,"")</x:f>
      </x:c>
      <x:c r="C173" s="670"/>
      <x:c r="D173" s="670"/>
      <x:c r="E173" s="670"/>
      <x:c r="F173" s="670"/>
      <x:c r="G173" s="670"/>
      <x:c r="H173" s="670"/>
      <x:c r="I173" s="670"/>
      <x:c r="J173" s="670"/>
      <x:c r="K173" s="670"/>
      <x:c r="L173" s="670"/>
      <x:c r="M173" s="670"/>
      <x:c r="N173" s="670"/>
      <x:c r="O173" s="670"/>
      <x:c r="P173" s="670"/>
      <x:c r="Q173" s="670"/>
      <x:c r="R173" s="670"/>
      <x:c r="S173" s="670"/>
      <x:c r="T173" s="670"/>
      <x:c r="U173" s="670"/>
      <x:c r="V173" s="670"/>
      <x:c r="W173" s="670"/>
      <x:c r="X173" s="670"/>
      <x:c r="Y173" s="670"/>
      <x:c r="Z173" s="670"/>
      <x:c r="AA173" s="670"/>
      <x:c r="AB173" s="670"/>
      <x:c r="AC173" s="670"/>
      <x:c r="AD173" s="670"/>
      <x:c r="AE173" s="670"/>
      <x:c r="AF173" s="670"/>
      <x:c r="AG173" s="670"/>
      <x:c r="AH173" s="670"/>
      <x:c r="AI173" s="670"/>
      <x:c r="AJ173" s="670"/>
      <x:c r="AK173" s="670"/>
      <x:c r="AL173" s="670"/>
      <x:c r="AM173" s="670"/>
      <x:c r="AN173" s="670"/>
      <x:c r="AO173" s="670"/>
      <x:c r="AP173" s="670"/>
      <x:c r="AQ173" s="670"/>
      <x:c r="AR173" s="670"/>
      <x:c r="AS173" s="670"/>
      <x:c r="AT173" s="670"/>
      <x:c r="AU173" s="670"/>
      <x:c r="AV173" s="670"/>
      <x:c r="AW173" s="670"/>
      <x:c r="AX173" s="670"/>
      <x:c r="AY173" s="670"/>
      <x:c r="AZ173" s="670"/>
      <x:c r="BA173" s="670"/>
      <x:c r="BB173" s="670"/>
      <x:c r="BC173" s="670"/>
      <x:c r="BD173" s="671"/>
    </x:row>
    <x:row r="174" ht="19" customHeight="1">
      <x:c r="B174" s="668" t="str">
        <x:f>IF('CADASTRO DE LOJAS'!E98="SIM",'CADASTRO DE LOJAS'!B98,"")</x:f>
      </x:c>
      <x:c r="C174" s="670"/>
      <x:c r="D174" s="670"/>
      <x:c r="E174" s="670"/>
      <x:c r="F174" s="670"/>
      <x:c r="G174" s="670"/>
      <x:c r="H174" s="670"/>
      <x:c r="I174" s="670"/>
      <x:c r="J174" s="670"/>
      <x:c r="K174" s="670"/>
      <x:c r="L174" s="670"/>
      <x:c r="M174" s="670"/>
      <x:c r="N174" s="670"/>
      <x:c r="O174" s="670"/>
      <x:c r="P174" s="670"/>
      <x:c r="Q174" s="670"/>
      <x:c r="R174" s="670"/>
      <x:c r="S174" s="670"/>
      <x:c r="T174" s="670"/>
      <x:c r="U174" s="670"/>
      <x:c r="V174" s="670"/>
      <x:c r="W174" s="670"/>
      <x:c r="X174" s="670"/>
      <x:c r="Y174" s="670"/>
      <x:c r="Z174" s="670"/>
      <x:c r="AA174" s="670"/>
      <x:c r="AB174" s="670"/>
      <x:c r="AC174" s="670"/>
      <x:c r="AD174" s="670"/>
      <x:c r="AE174" s="670"/>
      <x:c r="AF174" s="670"/>
      <x:c r="AG174" s="670"/>
      <x:c r="AH174" s="670"/>
      <x:c r="AI174" s="670"/>
      <x:c r="AJ174" s="670"/>
      <x:c r="AK174" s="670"/>
      <x:c r="AL174" s="670"/>
      <x:c r="AM174" s="670"/>
      <x:c r="AN174" s="670"/>
      <x:c r="AO174" s="670"/>
      <x:c r="AP174" s="670"/>
      <x:c r="AQ174" s="670"/>
      <x:c r="AR174" s="670"/>
      <x:c r="AS174" s="670"/>
      <x:c r="AT174" s="670"/>
      <x:c r="AU174" s="670"/>
      <x:c r="AV174" s="670"/>
      <x:c r="AW174" s="670"/>
      <x:c r="AX174" s="670"/>
      <x:c r="AY174" s="670"/>
      <x:c r="AZ174" s="670"/>
      <x:c r="BA174" s="670"/>
      <x:c r="BB174" s="670"/>
      <x:c r="BC174" s="670"/>
      <x:c r="BD174" s="671"/>
    </x:row>
    <x:row r="175" ht="19" customHeight="1">
      <x:c r="B175" s="668" t="str">
        <x:f>IF('CADASTRO DE LOJAS'!E99="SIM",'CADASTRO DE LOJAS'!B99,"")</x:f>
      </x:c>
      <x:c r="C175" s="670"/>
      <x:c r="D175" s="670"/>
      <x:c r="E175" s="670"/>
      <x:c r="F175" s="670"/>
      <x:c r="G175" s="670"/>
      <x:c r="H175" s="670"/>
      <x:c r="I175" s="670"/>
      <x:c r="J175" s="670"/>
      <x:c r="K175" s="670"/>
      <x:c r="L175" s="670"/>
      <x:c r="M175" s="670"/>
      <x:c r="N175" s="670"/>
      <x:c r="O175" s="670"/>
      <x:c r="P175" s="670"/>
      <x:c r="Q175" s="670"/>
      <x:c r="R175" s="670"/>
      <x:c r="S175" s="670"/>
      <x:c r="T175" s="670"/>
      <x:c r="U175" s="670"/>
      <x:c r="V175" s="670"/>
      <x:c r="W175" s="670"/>
      <x:c r="X175" s="670"/>
      <x:c r="Y175" s="670"/>
      <x:c r="Z175" s="670"/>
      <x:c r="AA175" s="670"/>
      <x:c r="AB175" s="670"/>
      <x:c r="AC175" s="670"/>
      <x:c r="AD175" s="670"/>
      <x:c r="AE175" s="670"/>
      <x:c r="AF175" s="670"/>
      <x:c r="AG175" s="670"/>
      <x:c r="AH175" s="670"/>
      <x:c r="AI175" s="670"/>
      <x:c r="AJ175" s="670"/>
      <x:c r="AK175" s="670"/>
      <x:c r="AL175" s="670"/>
      <x:c r="AM175" s="670"/>
      <x:c r="AN175" s="670"/>
      <x:c r="AO175" s="670"/>
      <x:c r="AP175" s="670"/>
      <x:c r="AQ175" s="670"/>
      <x:c r="AR175" s="670"/>
      <x:c r="AS175" s="670"/>
      <x:c r="AT175" s="670"/>
      <x:c r="AU175" s="670"/>
      <x:c r="AV175" s="670"/>
      <x:c r="AW175" s="670"/>
      <x:c r="AX175" s="670"/>
      <x:c r="AY175" s="670"/>
      <x:c r="AZ175" s="670"/>
      <x:c r="BA175" s="670"/>
      <x:c r="BB175" s="670"/>
      <x:c r="BC175" s="670"/>
      <x:c r="BD175" s="671"/>
    </x:row>
    <x:row r="176" ht="19" customHeight="1">
      <x:c r="B176" s="668" t="str">
        <x:f>IF('CADASTRO DE LOJAS'!E100="SIM",'CADASTRO DE LOJAS'!B100,"")</x:f>
      </x:c>
      <x:c r="C176" s="670"/>
      <x:c r="D176" s="670"/>
      <x:c r="E176" s="670"/>
      <x:c r="F176" s="670"/>
      <x:c r="G176" s="670"/>
      <x:c r="H176" s="670"/>
      <x:c r="I176" s="670"/>
      <x:c r="J176" s="670"/>
      <x:c r="K176" s="670"/>
      <x:c r="L176" s="670"/>
      <x:c r="M176" s="670"/>
      <x:c r="N176" s="670"/>
      <x:c r="O176" s="670"/>
      <x:c r="P176" s="670"/>
      <x:c r="Q176" s="670"/>
      <x:c r="R176" s="670"/>
      <x:c r="S176" s="670"/>
      <x:c r="T176" s="670"/>
      <x:c r="U176" s="670"/>
      <x:c r="V176" s="670"/>
      <x:c r="W176" s="670"/>
      <x:c r="X176" s="670"/>
      <x:c r="Y176" s="670"/>
      <x:c r="Z176" s="670"/>
      <x:c r="AA176" s="670"/>
      <x:c r="AB176" s="670"/>
      <x:c r="AC176" s="670"/>
      <x:c r="AD176" s="670"/>
      <x:c r="AE176" s="670"/>
      <x:c r="AF176" s="670"/>
      <x:c r="AG176" s="670"/>
      <x:c r="AH176" s="670"/>
      <x:c r="AI176" s="670"/>
      <x:c r="AJ176" s="670"/>
      <x:c r="AK176" s="670"/>
      <x:c r="AL176" s="670"/>
      <x:c r="AM176" s="670"/>
      <x:c r="AN176" s="670"/>
      <x:c r="AO176" s="670"/>
      <x:c r="AP176" s="670"/>
      <x:c r="AQ176" s="670"/>
      <x:c r="AR176" s="670"/>
      <x:c r="AS176" s="670"/>
      <x:c r="AT176" s="670"/>
      <x:c r="AU176" s="670"/>
      <x:c r="AV176" s="670"/>
      <x:c r="AW176" s="670"/>
      <x:c r="AX176" s="670"/>
      <x:c r="AY176" s="670"/>
      <x:c r="AZ176" s="670"/>
      <x:c r="BA176" s="670"/>
      <x:c r="BB176" s="670"/>
      <x:c r="BC176" s="670"/>
      <x:c r="BD176" s="671"/>
    </x:row>
    <x:row r="177" ht="19" customHeight="1">
      <x:c r="B177" s="668" t="str">
        <x:f>IF('CADASTRO DE LOJAS'!E101="SIM",'CADASTRO DE LOJAS'!B101,"")</x:f>
      </x:c>
      <x:c r="C177" s="670"/>
      <x:c r="D177" s="670"/>
      <x:c r="E177" s="670"/>
      <x:c r="F177" s="670"/>
      <x:c r="G177" s="670"/>
      <x:c r="H177" s="670"/>
      <x:c r="I177" s="670"/>
      <x:c r="J177" s="670"/>
      <x:c r="K177" s="670"/>
      <x:c r="L177" s="670"/>
      <x:c r="M177" s="670"/>
      <x:c r="N177" s="670"/>
      <x:c r="O177" s="670"/>
      <x:c r="P177" s="670"/>
      <x:c r="Q177" s="670"/>
      <x:c r="R177" s="670"/>
      <x:c r="S177" s="670"/>
      <x:c r="T177" s="670"/>
      <x:c r="U177" s="670"/>
      <x:c r="V177" s="670"/>
      <x:c r="W177" s="670"/>
      <x:c r="X177" s="670"/>
      <x:c r="Y177" s="670"/>
      <x:c r="Z177" s="670"/>
      <x:c r="AA177" s="670"/>
      <x:c r="AB177" s="670"/>
      <x:c r="AC177" s="670"/>
      <x:c r="AD177" s="670"/>
      <x:c r="AE177" s="670"/>
      <x:c r="AF177" s="670"/>
      <x:c r="AG177" s="670"/>
      <x:c r="AH177" s="670"/>
      <x:c r="AI177" s="670"/>
      <x:c r="AJ177" s="670"/>
      <x:c r="AK177" s="670"/>
      <x:c r="AL177" s="670"/>
      <x:c r="AM177" s="670"/>
      <x:c r="AN177" s="670"/>
      <x:c r="AO177" s="670"/>
      <x:c r="AP177" s="670"/>
      <x:c r="AQ177" s="670"/>
      <x:c r="AR177" s="670"/>
      <x:c r="AS177" s="670"/>
      <x:c r="AT177" s="670"/>
      <x:c r="AU177" s="670"/>
      <x:c r="AV177" s="670"/>
      <x:c r="AW177" s="670"/>
      <x:c r="AX177" s="670"/>
      <x:c r="AY177" s="670"/>
      <x:c r="AZ177" s="670"/>
      <x:c r="BA177" s="670"/>
      <x:c r="BB177" s="670"/>
      <x:c r="BC177" s="670"/>
      <x:c r="BD177" s="671"/>
    </x:row>
    <x:row r="178" ht="19" customHeight="1">
      <x:c r="B178" s="668" t="str">
        <x:f>IF('CADASTRO DE LOJAS'!E102="SIM",'CADASTRO DE LOJAS'!B102,"")</x:f>
      </x:c>
      <x:c r="C178" s="670"/>
      <x:c r="D178" s="670"/>
      <x:c r="E178" s="670"/>
      <x:c r="F178" s="670"/>
      <x:c r="G178" s="670"/>
      <x:c r="H178" s="670"/>
      <x:c r="I178" s="670"/>
      <x:c r="J178" s="670"/>
      <x:c r="K178" s="670"/>
      <x:c r="L178" s="670"/>
      <x:c r="M178" s="670"/>
      <x:c r="N178" s="670"/>
      <x:c r="O178" s="670"/>
      <x:c r="P178" s="670"/>
      <x:c r="Q178" s="670"/>
      <x:c r="R178" s="670"/>
      <x:c r="S178" s="670"/>
      <x:c r="T178" s="670"/>
      <x:c r="U178" s="670"/>
      <x:c r="V178" s="670"/>
      <x:c r="W178" s="670"/>
      <x:c r="X178" s="670"/>
      <x:c r="Y178" s="670"/>
      <x:c r="Z178" s="670"/>
      <x:c r="AA178" s="670"/>
      <x:c r="AB178" s="670"/>
      <x:c r="AC178" s="670"/>
      <x:c r="AD178" s="670"/>
      <x:c r="AE178" s="670"/>
      <x:c r="AF178" s="670"/>
      <x:c r="AG178" s="670"/>
      <x:c r="AH178" s="670"/>
      <x:c r="AI178" s="670"/>
      <x:c r="AJ178" s="670"/>
      <x:c r="AK178" s="670"/>
      <x:c r="AL178" s="670"/>
      <x:c r="AM178" s="670"/>
      <x:c r="AN178" s="670"/>
      <x:c r="AO178" s="670"/>
      <x:c r="AP178" s="670"/>
      <x:c r="AQ178" s="670"/>
      <x:c r="AR178" s="670"/>
      <x:c r="AS178" s="670"/>
      <x:c r="AT178" s="670"/>
      <x:c r="AU178" s="670"/>
      <x:c r="AV178" s="670"/>
      <x:c r="AW178" s="670"/>
      <x:c r="AX178" s="670"/>
      <x:c r="AY178" s="670"/>
      <x:c r="AZ178" s="670"/>
      <x:c r="BA178" s="670"/>
      <x:c r="BB178" s="670"/>
      <x:c r="BC178" s="670"/>
      <x:c r="BD178" s="671"/>
    </x:row>
    <x:row r="179" ht="19" customHeight="1">
      <x:c r="B179" s="668" t="str">
        <x:f>IF('CADASTRO DE LOJAS'!E103="SIM",'CADASTRO DE LOJAS'!B103,"")</x:f>
      </x:c>
      <x:c r="C179" s="670"/>
      <x:c r="D179" s="670"/>
      <x:c r="E179" s="670"/>
      <x:c r="F179" s="670"/>
      <x:c r="G179" s="670"/>
      <x:c r="H179" s="670"/>
      <x:c r="I179" s="670"/>
      <x:c r="J179" s="670"/>
      <x:c r="K179" s="670"/>
      <x:c r="L179" s="670"/>
      <x:c r="M179" s="670"/>
      <x:c r="N179" s="670"/>
      <x:c r="O179" s="670"/>
      <x:c r="P179" s="670"/>
      <x:c r="Q179" s="670"/>
      <x:c r="R179" s="670"/>
      <x:c r="S179" s="670"/>
      <x:c r="T179" s="670"/>
      <x:c r="U179" s="670"/>
      <x:c r="V179" s="670"/>
      <x:c r="W179" s="670"/>
      <x:c r="X179" s="670"/>
      <x:c r="Y179" s="670"/>
      <x:c r="Z179" s="670"/>
      <x:c r="AA179" s="670"/>
      <x:c r="AB179" s="670"/>
      <x:c r="AC179" s="670"/>
      <x:c r="AD179" s="670"/>
      <x:c r="AE179" s="670"/>
      <x:c r="AF179" s="670"/>
      <x:c r="AG179" s="670"/>
      <x:c r="AH179" s="670"/>
      <x:c r="AI179" s="670"/>
      <x:c r="AJ179" s="670"/>
      <x:c r="AK179" s="670"/>
      <x:c r="AL179" s="670"/>
      <x:c r="AM179" s="670"/>
      <x:c r="AN179" s="670"/>
      <x:c r="AO179" s="670"/>
      <x:c r="AP179" s="670"/>
      <x:c r="AQ179" s="670"/>
      <x:c r="AR179" s="670"/>
      <x:c r="AS179" s="670"/>
      <x:c r="AT179" s="670"/>
      <x:c r="AU179" s="670"/>
      <x:c r="AV179" s="670"/>
      <x:c r="AW179" s="670"/>
      <x:c r="AX179" s="670"/>
      <x:c r="AY179" s="670"/>
      <x:c r="AZ179" s="670"/>
      <x:c r="BA179" s="670"/>
      <x:c r="BB179" s="670"/>
      <x:c r="BC179" s="670"/>
      <x:c r="BD179" s="671"/>
    </x:row>
    <x:row r="180" ht="19" customHeight="1">
      <x:c r="B180" s="669" t="str">
        <x:f>IF('CADASTRO DE LOJAS'!E104="SIM",'CADASTRO DE LOJAS'!B104,"")</x:f>
      </x:c>
      <x:c r="C180" s="672"/>
      <x:c r="D180" s="672"/>
      <x:c r="E180" s="672"/>
      <x:c r="F180" s="672"/>
      <x:c r="G180" s="672"/>
      <x:c r="H180" s="672"/>
      <x:c r="I180" s="672"/>
      <x:c r="J180" s="672"/>
      <x:c r="K180" s="672"/>
      <x:c r="L180" s="672"/>
      <x:c r="M180" s="672"/>
      <x:c r="N180" s="672"/>
      <x:c r="O180" s="672"/>
      <x:c r="P180" s="672"/>
      <x:c r="Q180" s="672"/>
      <x:c r="R180" s="672"/>
      <x:c r="S180" s="672"/>
      <x:c r="T180" s="672"/>
      <x:c r="U180" s="672"/>
      <x:c r="V180" s="672"/>
      <x:c r="W180" s="672"/>
      <x:c r="X180" s="672"/>
      <x:c r="Y180" s="672"/>
      <x:c r="Z180" s="672"/>
      <x:c r="AA180" s="672"/>
      <x:c r="AB180" s="672"/>
      <x:c r="AC180" s="672"/>
      <x:c r="AD180" s="672"/>
      <x:c r="AE180" s="672"/>
      <x:c r="AF180" s="672"/>
      <x:c r="AG180" s="672"/>
      <x:c r="AH180" s="672"/>
      <x:c r="AI180" s="672"/>
      <x:c r="AJ180" s="672"/>
      <x:c r="AK180" s="672"/>
      <x:c r="AL180" s="672"/>
      <x:c r="AM180" s="672"/>
      <x:c r="AN180" s="672"/>
      <x:c r="AO180" s="672"/>
      <x:c r="AP180" s="672"/>
      <x:c r="AQ180" s="672"/>
      <x:c r="AR180" s="672"/>
      <x:c r="AS180" s="672"/>
      <x:c r="AT180" s="672"/>
      <x:c r="AU180" s="672"/>
      <x:c r="AV180" s="672"/>
      <x:c r="AW180" s="672"/>
      <x:c r="AX180" s="672"/>
      <x:c r="AY180" s="672"/>
      <x:c r="AZ180" s="672"/>
      <x:c r="BA180" s="672"/>
      <x:c r="BB180" s="672"/>
      <x:c r="BC180" s="672"/>
      <x:c r="BD180" s="673"/>
    </x:row>
    <x:row r="181">
      <x:c r="B181" s="595" t="str">
        <x:v>TOTAL EXPANSÃO</x:v>
      </x:c>
      <x:c r="C181" s="597" t="n">
        <x:f>SUM(C141:C180)</x:f>
        <x:v>0</x:v>
      </x:c>
      <x:c r="D181" s="597" t="n">
        <x:f>SUM(D141:D180)</x:f>
        <x:v>0</x:v>
      </x:c>
      <x:c r="E181" s="597" t="n">
        <x:f>SUM(E141:E180)</x:f>
        <x:v>0</x:v>
      </x:c>
      <x:c r="F181" s="597" t="n">
        <x:f>SUM(F141:F180)</x:f>
        <x:v>0</x:v>
      </x:c>
      <x:c r="G181" s="597" t="n">
        <x:f>SUM(G141:G180)</x:f>
        <x:v>0</x:v>
      </x:c>
      <x:c r="H181" s="597" t="n">
        <x:f>SUM(H141:H180)</x:f>
        <x:v>0</x:v>
      </x:c>
      <x:c r="I181" s="597" t="n">
        <x:f>SUM(I141:I180)</x:f>
        <x:v>0</x:v>
      </x:c>
      <x:c r="J181" s="597" t="n">
        <x:f>SUM(J141:J180)</x:f>
        <x:v>0</x:v>
      </x:c>
      <x:c r="K181" s="597" t="n">
        <x:f>SUM(K141:K180)</x:f>
        <x:v>0</x:v>
      </x:c>
      <x:c r="L181" s="597" t="n">
        <x:f>SUM(L141:L180)</x:f>
        <x:v>0</x:v>
      </x:c>
      <x:c r="M181" s="597" t="n">
        <x:f>SUM(M141:M180)</x:f>
        <x:v>0</x:v>
      </x:c>
      <x:c r="N181" s="597" t="n">
        <x:f>SUM(N141:N180)</x:f>
        <x:v>0</x:v>
      </x:c>
      <x:c r="O181" s="597" t="n">
        <x:f>SUM(O141:O180)</x:f>
        <x:v>0</x:v>
      </x:c>
      <x:c r="P181" s="597" t="n">
        <x:f>SUM(P141:P180)</x:f>
        <x:v>0</x:v>
      </x:c>
      <x:c r="Q181" s="597" t="n">
        <x:f>SUM(Q141:Q180)</x:f>
        <x:v>0</x:v>
      </x:c>
      <x:c r="R181" s="597" t="n">
        <x:f>SUM(R141:R180)</x:f>
        <x:v>0</x:v>
      </x:c>
      <x:c r="S181" s="597" t="n">
        <x:f>SUM(S141:S180)</x:f>
        <x:v>0</x:v>
      </x:c>
      <x:c r="T181" s="597" t="n">
        <x:f>SUM(T141:T180)</x:f>
        <x:v>0</x:v>
      </x:c>
      <x:c r="U181" s="597" t="n">
        <x:f>SUM(U141:U180)</x:f>
        <x:v>0</x:v>
      </x:c>
      <x:c r="V181" s="597" t="n">
        <x:f>SUM(V141:V180)</x:f>
        <x:v>0</x:v>
      </x:c>
      <x:c r="W181" s="597" t="n">
        <x:f>SUM(W141:W180)</x:f>
        <x:v>0</x:v>
      </x:c>
      <x:c r="X181" s="597" t="n">
        <x:f>SUM(X141:X180)</x:f>
        <x:v>0</x:v>
      </x:c>
      <x:c r="Y181" s="597" t="n">
        <x:f>SUM(Y141:Y180)</x:f>
        <x:v>0</x:v>
      </x:c>
      <x:c r="Z181" s="597" t="n">
        <x:f>SUM(Z141:Z180)</x:f>
        <x:v>0</x:v>
      </x:c>
      <x:c r="AA181" s="597" t="n">
        <x:f>SUM(AA141:AA180)</x:f>
        <x:v>0</x:v>
      </x:c>
      <x:c r="AB181" s="597" t="n">
        <x:f>SUM(AB141:AB180)</x:f>
        <x:v>0</x:v>
      </x:c>
      <x:c r="AC181" s="597" t="n">
        <x:f>SUM(AC141:AC180)</x:f>
        <x:v>0</x:v>
      </x:c>
      <x:c r="AD181" s="597" t="n">
        <x:f>SUM(AD141:AD180)</x:f>
        <x:v>0</x:v>
      </x:c>
      <x:c r="AE181" s="597" t="n">
        <x:f>SUM(AE141:AE180)</x:f>
        <x:v>0</x:v>
      </x:c>
      <x:c r="AF181" s="597" t="n">
        <x:f>SUM(AF141:AF180)</x:f>
        <x:v>0</x:v>
      </x:c>
      <x:c r="AG181" s="597" t="n">
        <x:f>SUM(AG141:AG180)</x:f>
        <x:v>0</x:v>
      </x:c>
      <x:c r="AH181" s="597" t="n">
        <x:f>SUM(AH141:AH180)</x:f>
        <x:v>0</x:v>
      </x:c>
      <x:c r="AI181" s="597" t="n">
        <x:f>SUM(AI141:AI180)</x:f>
        <x:v>0</x:v>
      </x:c>
      <x:c r="AJ181" s="597" t="n">
        <x:f>SUM(AJ141:AJ180)</x:f>
        <x:v>0</x:v>
      </x:c>
      <x:c r="AK181" s="597" t="n">
        <x:f>SUM(AK141:AK180)</x:f>
        <x:v>0</x:v>
      </x:c>
      <x:c r="AL181" s="597" t="n">
        <x:f>SUM(AL141:AL180)</x:f>
        <x:v>0</x:v>
      </x:c>
      <x:c r="AM181" s="597" t="n">
        <x:f>SUM(AM141:AM180)</x:f>
        <x:v>0</x:v>
      </x:c>
      <x:c r="AN181" s="597" t="n">
        <x:f>SUM(AN141:AN180)</x:f>
        <x:v>0</x:v>
      </x:c>
      <x:c r="AO181" s="597" t="n">
        <x:f>SUM(AO141:AO180)</x:f>
        <x:v>0</x:v>
      </x:c>
      <x:c r="AP181" s="597" t="n">
        <x:f>SUM(AP141:AP180)</x:f>
        <x:v>0</x:v>
      </x:c>
      <x:c r="AQ181" s="597" t="n">
        <x:f>SUM(AQ141:AQ180)</x:f>
        <x:v>0</x:v>
      </x:c>
      <x:c r="AR181" s="597" t="n">
        <x:f>SUM(AR141:AR180)</x:f>
        <x:v>0</x:v>
      </x:c>
      <x:c r="AS181" s="597" t="n">
        <x:f>SUM(AS141:AS180)</x:f>
        <x:v>0</x:v>
      </x:c>
      <x:c r="AT181" s="597" t="n">
        <x:f>SUM(AT141:AT180)</x:f>
        <x:v>0</x:v>
      </x:c>
      <x:c r="AU181" s="597" t="n">
        <x:f>SUM(AU141:AU180)</x:f>
        <x:v>0</x:v>
      </x:c>
      <x:c r="AV181" s="597" t="n">
        <x:f>SUM(AV141:AV180)</x:f>
        <x:v>0</x:v>
      </x:c>
      <x:c r="AW181" s="597" t="n">
        <x:f>SUM(AW141:AW180)</x:f>
        <x:v>0</x:v>
      </x:c>
      <x:c r="AX181" s="597" t="n">
        <x:f>SUM(AX141:AX180)</x:f>
        <x:v>0</x:v>
      </x:c>
      <x:c r="AY181" s="597" t="n">
        <x:f>SUM(AY141:AY180)</x:f>
        <x:v>0</x:v>
      </x:c>
      <x:c r="AZ181" s="597" t="n">
        <x:f>SUM(AZ141:AZ180)</x:f>
        <x:v>0</x:v>
      </x:c>
      <x:c r="BA181" s="597" t="n">
        <x:f>SUM(BA141:BA180)</x:f>
        <x:v>0</x:v>
      </x:c>
      <x:c r="BB181" s="597" t="n">
        <x:f>SUM(BB141:BB180)</x:f>
        <x:v>0</x:v>
      </x:c>
      <x:c r="BC181" s="597" t="n">
        <x:f>SUM(BC141:BC180)</x:f>
        <x:v>0</x:v>
      </x:c>
      <x:c r="BD181" s="597" t="n">
        <x:f>SUM(BD141:BD180)</x:f>
        <x:v>0</x:v>
      </x:c>
    </x:row>
    <x:row r="182" ht="22" customHeight="1">
      <x:c r="B182" s="664" t="str">
        <x:v>LOJA</x:v>
      </x:c>
      <x:c r="C182" s="665">
        <x:v>45139</x:v>
      </x:c>
      <x:c r="D182" s="665">
        <x:v>45170</x:v>
      </x:c>
      <x:c r="E182" s="665">
        <x:v>45200</x:v>
      </x:c>
      <x:c r="F182" s="665">
        <x:v>45231</x:v>
      </x:c>
      <x:c r="G182" s="665">
        <x:v>45261</x:v>
      </x:c>
      <x:c r="H182" s="665">
        <x:v>45292</x:v>
      </x:c>
      <x:c r="I182" s="665">
        <x:v>45323</x:v>
      </x:c>
      <x:c r="J182" s="665">
        <x:v>45352</x:v>
      </x:c>
      <x:c r="K182" s="665">
        <x:v>45383</x:v>
      </x:c>
      <x:c r="L182" s="665">
        <x:v>45413</x:v>
      </x:c>
      <x:c r="M182" s="665">
        <x:v>45444</x:v>
      </x:c>
      <x:c r="N182" s="665">
        <x:v>45474</x:v>
      </x:c>
      <x:c r="O182" s="665">
        <x:v>45505</x:v>
      </x:c>
      <x:c r="P182" s="665">
        <x:v>45536</x:v>
      </x:c>
      <x:c r="Q182" s="665">
        <x:v>45566</x:v>
      </x:c>
      <x:c r="R182" s="665">
        <x:v>45597</x:v>
      </x:c>
      <x:c r="S182" s="665">
        <x:v>45627</x:v>
      </x:c>
      <x:c r="T182" s="665">
        <x:v>45658</x:v>
      </x:c>
      <x:c r="U182" s="665">
        <x:v>45689</x:v>
      </x:c>
      <x:c r="V182" s="665">
        <x:v>45717</x:v>
      </x:c>
      <x:c r="W182" s="665">
        <x:v>45748</x:v>
      </x:c>
      <x:c r="X182" s="665">
        <x:v>45778</x:v>
      </x:c>
      <x:c r="Y182" s="665">
        <x:v>45809</x:v>
      </x:c>
      <x:c r="Z182" s="665">
        <x:v>45839</x:v>
      </x:c>
      <x:c r="AA182" s="665">
        <x:v>45870</x:v>
      </x:c>
      <x:c r="AB182" s="665">
        <x:v>45901</x:v>
      </x:c>
      <x:c r="AC182" s="665">
        <x:v>45931</x:v>
      </x:c>
      <x:c r="AD182" s="665">
        <x:v>45962</x:v>
      </x:c>
      <x:c r="AE182" s="665">
        <x:v>45992</x:v>
      </x:c>
      <x:c r="AF182" s="665">
        <x:v>46023</x:v>
      </x:c>
      <x:c r="AG182" s="665">
        <x:v>46054</x:v>
      </x:c>
      <x:c r="AH182" s="665">
        <x:v>46082</x:v>
      </x:c>
      <x:c r="AI182" s="665">
        <x:v>46113</x:v>
      </x:c>
      <x:c r="AJ182" s="665">
        <x:v>46143</x:v>
      </x:c>
      <x:c r="AK182" s="665">
        <x:v>46174</x:v>
      </x:c>
      <x:c r="AL182" s="665">
        <x:v>46204</x:v>
      </x:c>
      <x:c r="AM182" s="665">
        <x:v>46235</x:v>
      </x:c>
      <x:c r="AN182" s="665">
        <x:v>46266</x:v>
      </x:c>
      <x:c r="AO182" s="665">
        <x:v>46296</x:v>
      </x:c>
      <x:c r="AP182" s="665">
        <x:v>46327</x:v>
      </x:c>
      <x:c r="AQ182" s="665">
        <x:v>46357</x:v>
      </x:c>
      <x:c r="AR182" s="665">
        <x:v>46388</x:v>
      </x:c>
      <x:c r="AS182" s="665">
        <x:v>46419</x:v>
      </x:c>
      <x:c r="AT182" s="665">
        <x:v>46447</x:v>
      </x:c>
      <x:c r="AU182" s="665">
        <x:v>46478</x:v>
      </x:c>
      <x:c r="AV182" s="665">
        <x:v>46508</x:v>
      </x:c>
      <x:c r="AW182" s="665">
        <x:v>46539</x:v>
      </x:c>
      <x:c r="AX182" s="665">
        <x:v>46569</x:v>
      </x:c>
      <x:c r="AY182" s="665">
        <x:v>46600</x:v>
      </x:c>
      <x:c r="AZ182" s="665">
        <x:v>46631</x:v>
      </x:c>
      <x:c r="BA182" s="665">
        <x:v>46661</x:v>
      </x:c>
      <x:c r="BB182" s="665">
        <x:v>46692</x:v>
      </x:c>
      <x:c r="BC182" s="665">
        <x:v>46722</x:v>
      </x:c>
      <x:c r="BD182" s="665">
        <x:v>46753</x:v>
      </x:c>
    </x:row>
    <x:row r="183" ht="19" customHeight="1">
      <x:c r="B183" s="668" t="str">
        <x:f>IF('CADASTRO DE LOJAS'!E65="SIM",'CADASTRO DE LOJAS'!B65,"")</x:f>
      </x:c>
      <x:c r="C183" s="520"/>
      <x:c r="D183" s="520"/>
      <x:c r="E183" s="520"/>
      <x:c r="F183" s="520"/>
      <x:c r="G183" s="520"/>
      <x:c r="H183" s="520"/>
      <x:c r="I183" s="520"/>
      <x:c r="J183" s="520"/>
      <x:c r="K183" s="520"/>
      <x:c r="L183" s="520"/>
      <x:c r="M183" s="520"/>
      <x:c r="N183" s="520"/>
      <x:c r="O183" s="520"/>
      <x:c r="P183" s="520"/>
      <x:c r="Q183" s="520"/>
      <x:c r="R183" s="520"/>
      <x:c r="S183" s="520"/>
      <x:c r="T183" s="520"/>
      <x:c r="U183" s="520"/>
      <x:c r="V183" s="520"/>
      <x:c r="W183" s="520"/>
      <x:c r="X183" s="520"/>
      <x:c r="Y183" s="520"/>
      <x:c r="Z183" s="520"/>
      <x:c r="AA183" s="520"/>
      <x:c r="AB183" s="520"/>
      <x:c r="AC183" s="520"/>
      <x:c r="AD183" s="520"/>
      <x:c r="AE183" s="520"/>
      <x:c r="AF183" s="520"/>
      <x:c r="AG183" s="520"/>
      <x:c r="AH183" s="520"/>
      <x:c r="AI183" s="520"/>
      <x:c r="AJ183" s="520"/>
      <x:c r="AK183" s="520"/>
      <x:c r="AL183" s="520"/>
      <x:c r="AM183" s="520"/>
      <x:c r="AN183" s="520"/>
      <x:c r="AO183" s="520"/>
      <x:c r="AP183" s="520"/>
      <x:c r="AQ183" s="520"/>
      <x:c r="AR183" s="520"/>
      <x:c r="AS183" s="520"/>
      <x:c r="AT183" s="520"/>
      <x:c r="AU183" s="520"/>
      <x:c r="AV183" s="520"/>
      <x:c r="AW183" s="520"/>
      <x:c r="AX183" s="520"/>
      <x:c r="AY183" s="520"/>
      <x:c r="AZ183" s="520"/>
      <x:c r="BA183" s="520"/>
      <x:c r="BB183" s="520"/>
      <x:c r="BC183" s="520"/>
      <x:c r="BD183" s="521"/>
    </x:row>
    <x:row r="184" ht="19" customHeight="1">
      <x:c r="B184" s="668" t="str">
        <x:f>IF('CADASTRO DE LOJAS'!E66="SIM",'CADASTRO DE LOJAS'!B66,"")</x:f>
      </x:c>
      <x:c r="C184" s="520"/>
      <x:c r="D184" s="520"/>
      <x:c r="E184" s="520"/>
      <x:c r="F184" s="520"/>
      <x:c r="G184" s="520"/>
      <x:c r="H184" s="520"/>
      <x:c r="I184" s="520"/>
      <x:c r="J184" s="520"/>
      <x:c r="K184" s="520"/>
      <x:c r="L184" s="520"/>
      <x:c r="M184" s="520"/>
      <x:c r="N184" s="520"/>
      <x:c r="O184" s="520"/>
      <x:c r="P184" s="520"/>
      <x:c r="Q184" s="520"/>
      <x:c r="R184" s="520"/>
      <x:c r="S184" s="520"/>
      <x:c r="T184" s="520"/>
      <x:c r="U184" s="520"/>
      <x:c r="V184" s="520"/>
      <x:c r="W184" s="520"/>
      <x:c r="X184" s="520"/>
      <x:c r="Y184" s="520"/>
      <x:c r="Z184" s="520"/>
      <x:c r="AA184" s="520"/>
      <x:c r="AB184" s="520"/>
      <x:c r="AC184" s="520"/>
      <x:c r="AD184" s="520"/>
      <x:c r="AE184" s="520"/>
      <x:c r="AF184" s="520"/>
      <x:c r="AG184" s="520"/>
      <x:c r="AH184" s="520"/>
      <x:c r="AI184" s="520"/>
      <x:c r="AJ184" s="520"/>
      <x:c r="AK184" s="520"/>
      <x:c r="AL184" s="520"/>
      <x:c r="AM184" s="520"/>
      <x:c r="AN184" s="520"/>
      <x:c r="AO184" s="520"/>
      <x:c r="AP184" s="520"/>
      <x:c r="AQ184" s="520"/>
      <x:c r="AR184" s="520"/>
      <x:c r="AS184" s="520"/>
      <x:c r="AT184" s="520"/>
      <x:c r="AU184" s="520"/>
      <x:c r="AV184" s="520"/>
      <x:c r="AW184" s="520"/>
      <x:c r="AX184" s="520"/>
      <x:c r="AY184" s="520"/>
      <x:c r="AZ184" s="520"/>
      <x:c r="BA184" s="520"/>
      <x:c r="BB184" s="520"/>
      <x:c r="BC184" s="520"/>
      <x:c r="BD184" s="521"/>
    </x:row>
    <x:row r="185" ht="19" customHeight="1">
      <x:c r="B185" s="668" t="str">
        <x:f>IF('CADASTRO DE LOJAS'!E67="SIM",'CADASTRO DE LOJAS'!B67,"")</x:f>
      </x:c>
      <x:c r="C185" s="520"/>
      <x:c r="D185" s="520"/>
      <x:c r="E185" s="520"/>
      <x:c r="F185" s="520"/>
      <x:c r="G185" s="520"/>
      <x:c r="H185" s="520"/>
      <x:c r="I185" s="520"/>
      <x:c r="J185" s="520"/>
      <x:c r="K185" s="520"/>
      <x:c r="L185" s="520"/>
      <x:c r="M185" s="520"/>
      <x:c r="N185" s="520"/>
      <x:c r="O185" s="520"/>
      <x:c r="P185" s="520"/>
      <x:c r="Q185" s="520"/>
      <x:c r="R185" s="520"/>
      <x:c r="S185" s="520"/>
      <x:c r="T185" s="520"/>
      <x:c r="U185" s="520"/>
      <x:c r="V185" s="520"/>
      <x:c r="W185" s="520"/>
      <x:c r="X185" s="520"/>
      <x:c r="Y185" s="520"/>
      <x:c r="Z185" s="520"/>
      <x:c r="AA185" s="520"/>
      <x:c r="AB185" s="520"/>
      <x:c r="AC185" s="520"/>
      <x:c r="AD185" s="520"/>
      <x:c r="AE185" s="520"/>
      <x:c r="AF185" s="520"/>
      <x:c r="AG185" s="520"/>
      <x:c r="AH185" s="520"/>
      <x:c r="AI185" s="520"/>
      <x:c r="AJ185" s="520"/>
      <x:c r="AK185" s="520"/>
      <x:c r="AL185" s="520"/>
      <x:c r="AM185" s="520"/>
      <x:c r="AN185" s="520"/>
      <x:c r="AO185" s="520"/>
      <x:c r="AP185" s="520"/>
      <x:c r="AQ185" s="520"/>
      <x:c r="AR185" s="520"/>
      <x:c r="AS185" s="520"/>
      <x:c r="AT185" s="520"/>
      <x:c r="AU185" s="520"/>
      <x:c r="AV185" s="520"/>
      <x:c r="AW185" s="520"/>
      <x:c r="AX185" s="520"/>
      <x:c r="AY185" s="520"/>
      <x:c r="AZ185" s="520"/>
      <x:c r="BA185" s="520"/>
      <x:c r="BB185" s="520"/>
      <x:c r="BC185" s="520"/>
      <x:c r="BD185" s="521"/>
    </x:row>
    <x:row r="186" ht="19" customHeight="1">
      <x:c r="B186" s="668" t="str">
        <x:f>IF('CADASTRO DE LOJAS'!E68="SIM",'CADASTRO DE LOJAS'!B68,"")</x:f>
      </x:c>
      <x:c r="C186" s="520"/>
      <x:c r="D186" s="520"/>
      <x:c r="E186" s="520"/>
      <x:c r="F186" s="520"/>
      <x:c r="G186" s="520"/>
      <x:c r="H186" s="520"/>
      <x:c r="I186" s="520"/>
      <x:c r="J186" s="520"/>
      <x:c r="K186" s="520"/>
      <x:c r="L186" s="520"/>
      <x:c r="M186" s="520"/>
      <x:c r="N186" s="520"/>
      <x:c r="O186" s="520"/>
      <x:c r="P186" s="520"/>
      <x:c r="Q186" s="520"/>
      <x:c r="R186" s="520"/>
      <x:c r="S186" s="520"/>
      <x:c r="T186" s="520"/>
      <x:c r="U186" s="520"/>
      <x:c r="V186" s="520"/>
      <x:c r="W186" s="520"/>
      <x:c r="X186" s="520"/>
      <x:c r="Y186" s="520"/>
      <x:c r="Z186" s="520"/>
      <x:c r="AA186" s="520"/>
      <x:c r="AB186" s="520"/>
      <x:c r="AC186" s="520"/>
      <x:c r="AD186" s="520"/>
      <x:c r="AE186" s="520"/>
      <x:c r="AF186" s="520"/>
      <x:c r="AG186" s="520"/>
      <x:c r="AH186" s="520"/>
      <x:c r="AI186" s="520"/>
      <x:c r="AJ186" s="520"/>
      <x:c r="AK186" s="520"/>
      <x:c r="AL186" s="520"/>
      <x:c r="AM186" s="520"/>
      <x:c r="AN186" s="520"/>
      <x:c r="AO186" s="520"/>
      <x:c r="AP186" s="520"/>
      <x:c r="AQ186" s="520"/>
      <x:c r="AR186" s="520"/>
      <x:c r="AS186" s="520"/>
      <x:c r="AT186" s="520"/>
      <x:c r="AU186" s="520"/>
      <x:c r="AV186" s="520"/>
      <x:c r="AW186" s="520"/>
      <x:c r="AX186" s="520"/>
      <x:c r="AY186" s="520"/>
      <x:c r="AZ186" s="520"/>
      <x:c r="BA186" s="520"/>
      <x:c r="BB186" s="520"/>
      <x:c r="BC186" s="520"/>
      <x:c r="BD186" s="521"/>
    </x:row>
    <x:row r="187" ht="19" customHeight="1">
      <x:c r="B187" s="668" t="str">
        <x:f>IF('CADASTRO DE LOJAS'!E69="SIM",'CADASTRO DE LOJAS'!B69,"")</x:f>
      </x:c>
      <x:c r="C187" s="520"/>
      <x:c r="D187" s="520"/>
      <x:c r="E187" s="520"/>
      <x:c r="F187" s="520"/>
      <x:c r="G187" s="520"/>
      <x:c r="H187" s="520"/>
      <x:c r="I187" s="520"/>
      <x:c r="J187" s="520"/>
      <x:c r="K187" s="520"/>
      <x:c r="L187" s="520"/>
      <x:c r="M187" s="520"/>
      <x:c r="N187" s="520"/>
      <x:c r="O187" s="520"/>
      <x:c r="P187" s="520"/>
      <x:c r="Q187" s="520"/>
      <x:c r="R187" s="520"/>
      <x:c r="S187" s="520"/>
      <x:c r="T187" s="520"/>
      <x:c r="U187" s="520"/>
      <x:c r="V187" s="520"/>
      <x:c r="W187" s="520"/>
      <x:c r="X187" s="520"/>
      <x:c r="Y187" s="520"/>
      <x:c r="Z187" s="520"/>
      <x:c r="AA187" s="520"/>
      <x:c r="AB187" s="520"/>
      <x:c r="AC187" s="520"/>
      <x:c r="AD187" s="520"/>
      <x:c r="AE187" s="520"/>
      <x:c r="AF187" s="520"/>
      <x:c r="AG187" s="520"/>
      <x:c r="AH187" s="520"/>
      <x:c r="AI187" s="520"/>
      <x:c r="AJ187" s="520"/>
      <x:c r="AK187" s="520"/>
      <x:c r="AL187" s="520"/>
      <x:c r="AM187" s="520"/>
      <x:c r="AN187" s="520"/>
      <x:c r="AO187" s="520"/>
      <x:c r="AP187" s="520"/>
      <x:c r="AQ187" s="520"/>
      <x:c r="AR187" s="520"/>
      <x:c r="AS187" s="520"/>
      <x:c r="AT187" s="520"/>
      <x:c r="AU187" s="520"/>
      <x:c r="AV187" s="520"/>
      <x:c r="AW187" s="520"/>
      <x:c r="AX187" s="520"/>
      <x:c r="AY187" s="520"/>
      <x:c r="AZ187" s="520"/>
      <x:c r="BA187" s="520"/>
      <x:c r="BB187" s="520"/>
      <x:c r="BC187" s="520"/>
      <x:c r="BD187" s="521"/>
    </x:row>
    <x:row r="188" ht="19" customHeight="1">
      <x:c r="B188" s="668" t="str">
        <x:f>IF('CADASTRO DE LOJAS'!E70="SIM",'CADASTRO DE LOJAS'!B70,"")</x:f>
      </x:c>
      <x:c r="C188" s="520"/>
      <x:c r="D188" s="520"/>
      <x:c r="E188" s="520"/>
      <x:c r="F188" s="520"/>
      <x:c r="G188" s="520"/>
      <x:c r="H188" s="520"/>
      <x:c r="I188" s="520"/>
      <x:c r="J188" s="520"/>
      <x:c r="K188" s="520"/>
      <x:c r="L188" s="520"/>
      <x:c r="M188" s="520"/>
      <x:c r="N188" s="520"/>
      <x:c r="O188" s="520"/>
      <x:c r="P188" s="520"/>
      <x:c r="Q188" s="520"/>
      <x:c r="R188" s="520"/>
      <x:c r="S188" s="520"/>
      <x:c r="T188" s="520"/>
      <x:c r="U188" s="520"/>
      <x:c r="V188" s="520"/>
      <x:c r="W188" s="520"/>
      <x:c r="X188" s="520"/>
      <x:c r="Y188" s="520"/>
      <x:c r="Z188" s="520"/>
      <x:c r="AA188" s="520"/>
      <x:c r="AB188" s="520"/>
      <x:c r="AC188" s="520"/>
      <x:c r="AD188" s="520"/>
      <x:c r="AE188" s="520"/>
      <x:c r="AF188" s="520"/>
      <x:c r="AG188" s="520"/>
      <x:c r="AH188" s="520"/>
      <x:c r="AI188" s="520"/>
      <x:c r="AJ188" s="520"/>
      <x:c r="AK188" s="520"/>
      <x:c r="AL188" s="520"/>
      <x:c r="AM188" s="520"/>
      <x:c r="AN188" s="520"/>
      <x:c r="AO188" s="520"/>
      <x:c r="AP188" s="520"/>
      <x:c r="AQ188" s="520"/>
      <x:c r="AR188" s="520"/>
      <x:c r="AS188" s="520"/>
      <x:c r="AT188" s="520"/>
      <x:c r="AU188" s="520"/>
      <x:c r="AV188" s="520"/>
      <x:c r="AW188" s="520"/>
      <x:c r="AX188" s="520"/>
      <x:c r="AY188" s="520"/>
      <x:c r="AZ188" s="520"/>
      <x:c r="BA188" s="520"/>
      <x:c r="BB188" s="520"/>
      <x:c r="BC188" s="520"/>
      <x:c r="BD188" s="521"/>
    </x:row>
    <x:row r="189" ht="19" customHeight="1">
      <x:c r="B189" s="668" t="str">
        <x:f>IF('CADASTRO DE LOJAS'!E71="SIM",'CADASTRO DE LOJAS'!B71,"")</x:f>
      </x:c>
      <x:c r="C189" s="520"/>
      <x:c r="D189" s="520"/>
      <x:c r="E189" s="520"/>
      <x:c r="F189" s="520"/>
      <x:c r="G189" s="520"/>
      <x:c r="H189" s="520"/>
      <x:c r="I189" s="520"/>
      <x:c r="J189" s="520"/>
      <x:c r="K189" s="520"/>
      <x:c r="L189" s="520"/>
      <x:c r="M189" s="520"/>
      <x:c r="N189" s="520"/>
      <x:c r="O189" s="520"/>
      <x:c r="P189" s="520"/>
      <x:c r="Q189" s="520"/>
      <x:c r="R189" s="520"/>
      <x:c r="S189" s="520"/>
      <x:c r="T189" s="520"/>
      <x:c r="U189" s="520"/>
      <x:c r="V189" s="520"/>
      <x:c r="W189" s="520"/>
      <x:c r="X189" s="520"/>
      <x:c r="Y189" s="520"/>
      <x:c r="Z189" s="520"/>
      <x:c r="AA189" s="520"/>
      <x:c r="AB189" s="520"/>
      <x:c r="AC189" s="520"/>
      <x:c r="AD189" s="520"/>
      <x:c r="AE189" s="520"/>
      <x:c r="AF189" s="520"/>
      <x:c r="AG189" s="520"/>
      <x:c r="AH189" s="520"/>
      <x:c r="AI189" s="520"/>
      <x:c r="AJ189" s="520"/>
      <x:c r="AK189" s="520"/>
      <x:c r="AL189" s="520"/>
      <x:c r="AM189" s="520"/>
      <x:c r="AN189" s="520"/>
      <x:c r="AO189" s="520"/>
      <x:c r="AP189" s="520"/>
      <x:c r="AQ189" s="520"/>
      <x:c r="AR189" s="520"/>
      <x:c r="AS189" s="520"/>
      <x:c r="AT189" s="520"/>
      <x:c r="AU189" s="520"/>
      <x:c r="AV189" s="520"/>
      <x:c r="AW189" s="520"/>
      <x:c r="AX189" s="520"/>
      <x:c r="AY189" s="520"/>
      <x:c r="AZ189" s="520"/>
      <x:c r="BA189" s="520"/>
      <x:c r="BB189" s="520"/>
      <x:c r="BC189" s="520"/>
      <x:c r="BD189" s="521"/>
    </x:row>
    <x:row r="190" ht="19" customHeight="1">
      <x:c r="B190" s="668" t="str">
        <x:f>IF('CADASTRO DE LOJAS'!E72="SIM",'CADASTRO DE LOJAS'!B72,"")</x:f>
      </x:c>
      <x:c r="C190" s="520"/>
      <x:c r="D190" s="520"/>
      <x:c r="E190" s="520"/>
      <x:c r="F190" s="520"/>
      <x:c r="G190" s="520"/>
      <x:c r="H190" s="520"/>
      <x:c r="I190" s="520"/>
      <x:c r="J190" s="520"/>
      <x:c r="K190" s="520"/>
      <x:c r="L190" s="520"/>
      <x:c r="M190" s="520"/>
      <x:c r="N190" s="520"/>
      <x:c r="O190" s="520"/>
      <x:c r="P190" s="520"/>
      <x:c r="Q190" s="520"/>
      <x:c r="R190" s="520"/>
      <x:c r="S190" s="520"/>
      <x:c r="T190" s="520"/>
      <x:c r="U190" s="520"/>
      <x:c r="V190" s="520"/>
      <x:c r="W190" s="520"/>
      <x:c r="X190" s="520"/>
      <x:c r="Y190" s="520"/>
      <x:c r="Z190" s="520"/>
      <x:c r="AA190" s="520"/>
      <x:c r="AB190" s="520"/>
      <x:c r="AC190" s="520"/>
      <x:c r="AD190" s="520"/>
      <x:c r="AE190" s="520"/>
      <x:c r="AF190" s="520"/>
      <x:c r="AG190" s="520"/>
      <x:c r="AH190" s="520"/>
      <x:c r="AI190" s="520"/>
      <x:c r="AJ190" s="520"/>
      <x:c r="AK190" s="520"/>
      <x:c r="AL190" s="520"/>
      <x:c r="AM190" s="520"/>
      <x:c r="AN190" s="520"/>
      <x:c r="AO190" s="520"/>
      <x:c r="AP190" s="520"/>
      <x:c r="AQ190" s="520"/>
      <x:c r="AR190" s="520"/>
      <x:c r="AS190" s="520"/>
      <x:c r="AT190" s="520"/>
      <x:c r="AU190" s="520"/>
      <x:c r="AV190" s="520"/>
      <x:c r="AW190" s="520"/>
      <x:c r="AX190" s="520"/>
      <x:c r="AY190" s="520"/>
      <x:c r="AZ190" s="520"/>
      <x:c r="BA190" s="520"/>
      <x:c r="BB190" s="520"/>
      <x:c r="BC190" s="520"/>
      <x:c r="BD190" s="521"/>
    </x:row>
    <x:row r="191" ht="19" customHeight="1">
      <x:c r="B191" s="668" t="str">
        <x:f>IF('CADASTRO DE LOJAS'!E73="SIM",'CADASTRO DE LOJAS'!B73,"")</x:f>
      </x:c>
      <x:c r="C191" s="520"/>
      <x:c r="D191" s="520"/>
      <x:c r="E191" s="520"/>
      <x:c r="F191" s="520"/>
      <x:c r="G191" s="520"/>
      <x:c r="H191" s="520"/>
      <x:c r="I191" s="520"/>
      <x:c r="J191" s="520"/>
      <x:c r="K191" s="520"/>
      <x:c r="L191" s="520"/>
      <x:c r="M191" s="520"/>
      <x:c r="N191" s="520"/>
      <x:c r="O191" s="520"/>
      <x:c r="P191" s="520"/>
      <x:c r="Q191" s="520"/>
      <x:c r="R191" s="520"/>
      <x:c r="S191" s="520"/>
      <x:c r="T191" s="520"/>
      <x:c r="U191" s="520"/>
      <x:c r="V191" s="520"/>
      <x:c r="W191" s="520"/>
      <x:c r="X191" s="520"/>
      <x:c r="Y191" s="520"/>
      <x:c r="Z191" s="520"/>
      <x:c r="AA191" s="520"/>
      <x:c r="AB191" s="520"/>
      <x:c r="AC191" s="520"/>
      <x:c r="AD191" s="520"/>
      <x:c r="AE191" s="520"/>
      <x:c r="AF191" s="520"/>
      <x:c r="AG191" s="520"/>
      <x:c r="AH191" s="520"/>
      <x:c r="AI191" s="520"/>
      <x:c r="AJ191" s="520"/>
      <x:c r="AK191" s="520"/>
      <x:c r="AL191" s="520"/>
      <x:c r="AM191" s="520"/>
      <x:c r="AN191" s="520"/>
      <x:c r="AO191" s="520"/>
      <x:c r="AP191" s="520"/>
      <x:c r="AQ191" s="520"/>
      <x:c r="AR191" s="520"/>
      <x:c r="AS191" s="520"/>
      <x:c r="AT191" s="520"/>
      <x:c r="AU191" s="520"/>
      <x:c r="AV191" s="520"/>
      <x:c r="AW191" s="520"/>
      <x:c r="AX191" s="520"/>
      <x:c r="AY191" s="520"/>
      <x:c r="AZ191" s="520"/>
      <x:c r="BA191" s="520"/>
      <x:c r="BB191" s="520"/>
      <x:c r="BC191" s="520"/>
      <x:c r="BD191" s="521"/>
    </x:row>
    <x:row r="192" ht="19" customHeight="1">
      <x:c r="B192" s="668" t="str">
        <x:f>IF('CADASTRO DE LOJAS'!E74="SIM",'CADASTRO DE LOJAS'!B74,"")</x:f>
      </x:c>
      <x:c r="C192" s="520"/>
      <x:c r="D192" s="520"/>
      <x:c r="E192" s="520"/>
      <x:c r="F192" s="520"/>
      <x:c r="G192" s="520"/>
      <x:c r="H192" s="520"/>
      <x:c r="I192" s="520"/>
      <x:c r="J192" s="520"/>
      <x:c r="K192" s="520"/>
      <x:c r="L192" s="520"/>
      <x:c r="M192" s="520"/>
      <x:c r="N192" s="520"/>
      <x:c r="O192" s="520"/>
      <x:c r="P192" s="520"/>
      <x:c r="Q192" s="520"/>
      <x:c r="R192" s="520"/>
      <x:c r="S192" s="520"/>
      <x:c r="T192" s="520"/>
      <x:c r="U192" s="520"/>
      <x:c r="V192" s="520"/>
      <x:c r="W192" s="520"/>
      <x:c r="X192" s="520"/>
      <x:c r="Y192" s="520"/>
      <x:c r="Z192" s="520"/>
      <x:c r="AA192" s="520"/>
      <x:c r="AB192" s="520"/>
      <x:c r="AC192" s="520"/>
      <x:c r="AD192" s="520"/>
      <x:c r="AE192" s="520"/>
      <x:c r="AF192" s="520"/>
      <x:c r="AG192" s="520"/>
      <x:c r="AH192" s="520"/>
      <x:c r="AI192" s="520"/>
      <x:c r="AJ192" s="520"/>
      <x:c r="AK192" s="520"/>
      <x:c r="AL192" s="520"/>
      <x:c r="AM192" s="520"/>
      <x:c r="AN192" s="520"/>
      <x:c r="AO192" s="520"/>
      <x:c r="AP192" s="520"/>
      <x:c r="AQ192" s="520"/>
      <x:c r="AR192" s="520"/>
      <x:c r="AS192" s="520"/>
      <x:c r="AT192" s="520"/>
      <x:c r="AU192" s="520"/>
      <x:c r="AV192" s="520"/>
      <x:c r="AW192" s="520"/>
      <x:c r="AX192" s="520"/>
      <x:c r="AY192" s="520"/>
      <x:c r="AZ192" s="520"/>
      <x:c r="BA192" s="520"/>
      <x:c r="BB192" s="520"/>
      <x:c r="BC192" s="520"/>
      <x:c r="BD192" s="521"/>
    </x:row>
    <x:row r="193" ht="19" customHeight="1">
      <x:c r="B193" s="668" t="str">
        <x:f>IF('CADASTRO DE LOJAS'!E75="SIM",'CADASTRO DE LOJAS'!B75,"")</x:f>
      </x:c>
      <x:c r="C193" s="520"/>
      <x:c r="D193" s="520"/>
      <x:c r="E193" s="520"/>
      <x:c r="F193" s="520"/>
      <x:c r="G193" s="520"/>
      <x:c r="H193" s="520"/>
      <x:c r="I193" s="520"/>
      <x:c r="J193" s="520"/>
      <x:c r="K193" s="520"/>
      <x:c r="L193" s="520"/>
      <x:c r="M193" s="520"/>
      <x:c r="N193" s="520"/>
      <x:c r="O193" s="520"/>
      <x:c r="P193" s="520"/>
      <x:c r="Q193" s="520"/>
      <x:c r="R193" s="520"/>
      <x:c r="S193" s="520"/>
      <x:c r="T193" s="520"/>
      <x:c r="U193" s="520"/>
      <x:c r="V193" s="520"/>
      <x:c r="W193" s="520"/>
      <x:c r="X193" s="520"/>
      <x:c r="Y193" s="520"/>
      <x:c r="Z193" s="520"/>
      <x:c r="AA193" s="520"/>
      <x:c r="AB193" s="520"/>
      <x:c r="AC193" s="520"/>
      <x:c r="AD193" s="520"/>
      <x:c r="AE193" s="520"/>
      <x:c r="AF193" s="520"/>
      <x:c r="AG193" s="520"/>
      <x:c r="AH193" s="520"/>
      <x:c r="AI193" s="520"/>
      <x:c r="AJ193" s="520"/>
      <x:c r="AK193" s="520"/>
      <x:c r="AL193" s="520"/>
      <x:c r="AM193" s="520"/>
      <x:c r="AN193" s="520"/>
      <x:c r="AO193" s="520"/>
      <x:c r="AP193" s="520"/>
      <x:c r="AQ193" s="520"/>
      <x:c r="AR193" s="520"/>
      <x:c r="AS193" s="520"/>
      <x:c r="AT193" s="520"/>
      <x:c r="AU193" s="520"/>
      <x:c r="AV193" s="520"/>
      <x:c r="AW193" s="520"/>
      <x:c r="AX193" s="520"/>
      <x:c r="AY193" s="520"/>
      <x:c r="AZ193" s="520"/>
      <x:c r="BA193" s="520"/>
      <x:c r="BB193" s="520"/>
      <x:c r="BC193" s="520"/>
      <x:c r="BD193" s="521"/>
    </x:row>
    <x:row r="194" ht="19" customHeight="1">
      <x:c r="B194" s="668" t="str">
        <x:f>IF('CADASTRO DE LOJAS'!E76="SIM",'CADASTRO DE LOJAS'!B76,"")</x:f>
      </x:c>
      <x:c r="C194" s="520"/>
      <x:c r="D194" s="520"/>
      <x:c r="E194" s="520"/>
      <x:c r="F194" s="520"/>
      <x:c r="G194" s="520"/>
      <x:c r="H194" s="520"/>
      <x:c r="I194" s="520"/>
      <x:c r="J194" s="520"/>
      <x:c r="K194" s="520"/>
      <x:c r="L194" s="520"/>
      <x:c r="M194" s="520"/>
      <x:c r="N194" s="520"/>
      <x:c r="O194" s="520"/>
      <x:c r="P194" s="520"/>
      <x:c r="Q194" s="520"/>
      <x:c r="R194" s="520"/>
      <x:c r="S194" s="520"/>
      <x:c r="T194" s="520"/>
      <x:c r="U194" s="520"/>
      <x:c r="V194" s="520"/>
      <x:c r="W194" s="520"/>
      <x:c r="X194" s="520"/>
      <x:c r="Y194" s="520"/>
      <x:c r="Z194" s="520"/>
      <x:c r="AA194" s="520"/>
      <x:c r="AB194" s="520"/>
      <x:c r="AC194" s="520"/>
      <x:c r="AD194" s="520"/>
      <x:c r="AE194" s="520"/>
      <x:c r="AF194" s="520"/>
      <x:c r="AG194" s="520"/>
      <x:c r="AH194" s="520"/>
      <x:c r="AI194" s="520"/>
      <x:c r="AJ194" s="520"/>
      <x:c r="AK194" s="520"/>
      <x:c r="AL194" s="520"/>
      <x:c r="AM194" s="520"/>
      <x:c r="AN194" s="520"/>
      <x:c r="AO194" s="520"/>
      <x:c r="AP194" s="520"/>
      <x:c r="AQ194" s="520"/>
      <x:c r="AR194" s="520"/>
      <x:c r="AS194" s="520"/>
      <x:c r="AT194" s="520"/>
      <x:c r="AU194" s="520"/>
      <x:c r="AV194" s="520"/>
      <x:c r="AW194" s="520"/>
      <x:c r="AX194" s="520"/>
      <x:c r="AY194" s="520"/>
      <x:c r="AZ194" s="520"/>
      <x:c r="BA194" s="520"/>
      <x:c r="BB194" s="520"/>
      <x:c r="BC194" s="520"/>
      <x:c r="BD194" s="521"/>
    </x:row>
    <x:row r="195" ht="19" customHeight="1">
      <x:c r="B195" s="668" t="str">
        <x:f>IF('CADASTRO DE LOJAS'!E77="SIM",'CADASTRO DE LOJAS'!B77,"")</x:f>
      </x:c>
      <x:c r="C195" s="520"/>
      <x:c r="D195" s="520"/>
      <x:c r="E195" s="520"/>
      <x:c r="F195" s="520"/>
      <x:c r="G195" s="520"/>
      <x:c r="H195" s="520"/>
      <x:c r="I195" s="520"/>
      <x:c r="J195" s="520"/>
      <x:c r="K195" s="520"/>
      <x:c r="L195" s="520"/>
      <x:c r="M195" s="520"/>
      <x:c r="N195" s="520"/>
      <x:c r="O195" s="520"/>
      <x:c r="P195" s="520"/>
      <x:c r="Q195" s="520"/>
      <x:c r="R195" s="520"/>
      <x:c r="S195" s="520"/>
      <x:c r="T195" s="520"/>
      <x:c r="U195" s="520"/>
      <x:c r="V195" s="520"/>
      <x:c r="W195" s="520"/>
      <x:c r="X195" s="520"/>
      <x:c r="Y195" s="520"/>
      <x:c r="Z195" s="520"/>
      <x:c r="AA195" s="520"/>
      <x:c r="AB195" s="520"/>
      <x:c r="AC195" s="520"/>
      <x:c r="AD195" s="520"/>
      <x:c r="AE195" s="520"/>
      <x:c r="AF195" s="520"/>
      <x:c r="AG195" s="520"/>
      <x:c r="AH195" s="520"/>
      <x:c r="AI195" s="520"/>
      <x:c r="AJ195" s="520"/>
      <x:c r="AK195" s="520"/>
      <x:c r="AL195" s="520"/>
      <x:c r="AM195" s="520"/>
      <x:c r="AN195" s="520"/>
      <x:c r="AO195" s="520"/>
      <x:c r="AP195" s="520"/>
      <x:c r="AQ195" s="520"/>
      <x:c r="AR195" s="520"/>
      <x:c r="AS195" s="520"/>
      <x:c r="AT195" s="520"/>
      <x:c r="AU195" s="520"/>
      <x:c r="AV195" s="520"/>
      <x:c r="AW195" s="520"/>
      <x:c r="AX195" s="520"/>
      <x:c r="AY195" s="520"/>
      <x:c r="AZ195" s="520"/>
      <x:c r="BA195" s="520"/>
      <x:c r="BB195" s="520"/>
      <x:c r="BC195" s="520"/>
      <x:c r="BD195" s="521"/>
    </x:row>
    <x:row r="196" ht="19" customHeight="1">
      <x:c r="B196" s="668" t="str">
        <x:f>IF('CADASTRO DE LOJAS'!E78="SIM",'CADASTRO DE LOJAS'!B78,"")</x:f>
      </x:c>
      <x:c r="C196" s="520"/>
      <x:c r="D196" s="520"/>
      <x:c r="E196" s="520"/>
      <x:c r="F196" s="520"/>
      <x:c r="G196" s="520"/>
      <x:c r="H196" s="520"/>
      <x:c r="I196" s="520"/>
      <x:c r="J196" s="520"/>
      <x:c r="K196" s="520"/>
      <x:c r="L196" s="520"/>
      <x:c r="M196" s="520"/>
      <x:c r="N196" s="520"/>
      <x:c r="O196" s="520"/>
      <x:c r="P196" s="520"/>
      <x:c r="Q196" s="520"/>
      <x:c r="R196" s="520"/>
      <x:c r="S196" s="520"/>
      <x:c r="T196" s="520"/>
      <x:c r="U196" s="520"/>
      <x:c r="V196" s="520"/>
      <x:c r="W196" s="520"/>
      <x:c r="X196" s="520"/>
      <x:c r="Y196" s="520"/>
      <x:c r="Z196" s="520"/>
      <x:c r="AA196" s="520"/>
      <x:c r="AB196" s="520"/>
      <x:c r="AC196" s="520"/>
      <x:c r="AD196" s="520"/>
      <x:c r="AE196" s="520"/>
      <x:c r="AF196" s="520"/>
      <x:c r="AG196" s="520"/>
      <x:c r="AH196" s="520"/>
      <x:c r="AI196" s="520"/>
      <x:c r="AJ196" s="520"/>
      <x:c r="AK196" s="520"/>
      <x:c r="AL196" s="520"/>
      <x:c r="AM196" s="520"/>
      <x:c r="AN196" s="520"/>
      <x:c r="AO196" s="520"/>
      <x:c r="AP196" s="520"/>
      <x:c r="AQ196" s="520"/>
      <x:c r="AR196" s="520"/>
      <x:c r="AS196" s="520"/>
      <x:c r="AT196" s="520"/>
      <x:c r="AU196" s="520"/>
      <x:c r="AV196" s="520"/>
      <x:c r="AW196" s="520"/>
      <x:c r="AX196" s="520"/>
      <x:c r="AY196" s="520"/>
      <x:c r="AZ196" s="520"/>
      <x:c r="BA196" s="520"/>
      <x:c r="BB196" s="520"/>
      <x:c r="BC196" s="520"/>
      <x:c r="BD196" s="521"/>
    </x:row>
    <x:row r="197" ht="19" customHeight="1">
      <x:c r="B197" s="668" t="str">
        <x:f>IF('CADASTRO DE LOJAS'!E79="SIM",'CADASTRO DE LOJAS'!B79,"")</x:f>
      </x:c>
      <x:c r="C197" s="520"/>
      <x:c r="D197" s="520"/>
      <x:c r="E197" s="520"/>
      <x:c r="F197" s="520"/>
      <x:c r="G197" s="520"/>
      <x:c r="H197" s="520"/>
      <x:c r="I197" s="520"/>
      <x:c r="J197" s="520"/>
      <x:c r="K197" s="520"/>
      <x:c r="L197" s="520"/>
      <x:c r="M197" s="520"/>
      <x:c r="N197" s="520"/>
      <x:c r="O197" s="520"/>
      <x:c r="P197" s="520"/>
      <x:c r="Q197" s="520"/>
      <x:c r="R197" s="520"/>
      <x:c r="S197" s="520"/>
      <x:c r="T197" s="520"/>
      <x:c r="U197" s="520"/>
      <x:c r="V197" s="520"/>
      <x:c r="W197" s="520"/>
      <x:c r="X197" s="520"/>
      <x:c r="Y197" s="520"/>
      <x:c r="Z197" s="520"/>
      <x:c r="AA197" s="520"/>
      <x:c r="AB197" s="520"/>
      <x:c r="AC197" s="520"/>
      <x:c r="AD197" s="520"/>
      <x:c r="AE197" s="520"/>
      <x:c r="AF197" s="520"/>
      <x:c r="AG197" s="520"/>
      <x:c r="AH197" s="520"/>
      <x:c r="AI197" s="520"/>
      <x:c r="AJ197" s="520"/>
      <x:c r="AK197" s="520"/>
      <x:c r="AL197" s="520"/>
      <x:c r="AM197" s="520"/>
      <x:c r="AN197" s="520"/>
      <x:c r="AO197" s="520"/>
      <x:c r="AP197" s="520"/>
      <x:c r="AQ197" s="520"/>
      <x:c r="AR197" s="520"/>
      <x:c r="AS197" s="520"/>
      <x:c r="AT197" s="520"/>
      <x:c r="AU197" s="520"/>
      <x:c r="AV197" s="520"/>
      <x:c r="AW197" s="520"/>
      <x:c r="AX197" s="520"/>
      <x:c r="AY197" s="520"/>
      <x:c r="AZ197" s="520"/>
      <x:c r="BA197" s="520"/>
      <x:c r="BB197" s="520"/>
      <x:c r="BC197" s="520"/>
      <x:c r="BD197" s="521"/>
    </x:row>
    <x:row r="198" ht="19" customHeight="1">
      <x:c r="B198" s="668" t="str">
        <x:f>IF('CADASTRO DE LOJAS'!E80="SIM",'CADASTRO DE LOJAS'!B80,"")</x:f>
      </x:c>
      <x:c r="C198" s="520"/>
      <x:c r="D198" s="520"/>
      <x:c r="E198" s="520"/>
      <x:c r="F198" s="520"/>
      <x:c r="G198" s="520"/>
      <x:c r="H198" s="520"/>
      <x:c r="I198" s="520"/>
      <x:c r="J198" s="520"/>
      <x:c r="K198" s="520"/>
      <x:c r="L198" s="520"/>
      <x:c r="M198" s="520"/>
      <x:c r="N198" s="520"/>
      <x:c r="O198" s="520"/>
      <x:c r="P198" s="520"/>
      <x:c r="Q198" s="520"/>
      <x:c r="R198" s="520"/>
      <x:c r="S198" s="520"/>
      <x:c r="T198" s="520"/>
      <x:c r="U198" s="520"/>
      <x:c r="V198" s="520"/>
      <x:c r="W198" s="520"/>
      <x:c r="X198" s="520"/>
      <x:c r="Y198" s="520"/>
      <x:c r="Z198" s="520"/>
      <x:c r="AA198" s="520"/>
      <x:c r="AB198" s="520"/>
      <x:c r="AC198" s="520"/>
      <x:c r="AD198" s="520"/>
      <x:c r="AE198" s="520"/>
      <x:c r="AF198" s="520"/>
      <x:c r="AG198" s="520"/>
      <x:c r="AH198" s="520"/>
      <x:c r="AI198" s="520"/>
      <x:c r="AJ198" s="520"/>
      <x:c r="AK198" s="520"/>
      <x:c r="AL198" s="520"/>
      <x:c r="AM198" s="520"/>
      <x:c r="AN198" s="520"/>
      <x:c r="AO198" s="520"/>
      <x:c r="AP198" s="520"/>
      <x:c r="AQ198" s="520"/>
      <x:c r="AR198" s="520"/>
      <x:c r="AS198" s="520"/>
      <x:c r="AT198" s="520"/>
      <x:c r="AU198" s="520"/>
      <x:c r="AV198" s="520"/>
      <x:c r="AW198" s="520"/>
      <x:c r="AX198" s="520"/>
      <x:c r="AY198" s="520"/>
      <x:c r="AZ198" s="520"/>
      <x:c r="BA198" s="520"/>
      <x:c r="BB198" s="520"/>
      <x:c r="BC198" s="520"/>
      <x:c r="BD198" s="521"/>
    </x:row>
    <x:row r="199" ht="19" customHeight="1">
      <x:c r="B199" s="668" t="str">
        <x:f>IF('CADASTRO DE LOJAS'!E81="SIM",'CADASTRO DE LOJAS'!B81,"")</x:f>
      </x:c>
      <x:c r="C199" s="520"/>
      <x:c r="D199" s="520"/>
      <x:c r="E199" s="520"/>
      <x:c r="F199" s="520"/>
      <x:c r="G199" s="520"/>
      <x:c r="H199" s="520"/>
      <x:c r="I199" s="520"/>
      <x:c r="J199" s="520"/>
      <x:c r="K199" s="520"/>
      <x:c r="L199" s="520"/>
      <x:c r="M199" s="520"/>
      <x:c r="N199" s="520"/>
      <x:c r="O199" s="520"/>
      <x:c r="P199" s="520"/>
      <x:c r="Q199" s="520"/>
      <x:c r="R199" s="520"/>
      <x:c r="S199" s="520"/>
      <x:c r="T199" s="520"/>
      <x:c r="U199" s="520"/>
      <x:c r="V199" s="520"/>
      <x:c r="W199" s="520"/>
      <x:c r="X199" s="520"/>
      <x:c r="Y199" s="520"/>
      <x:c r="Z199" s="520"/>
      <x:c r="AA199" s="520"/>
      <x:c r="AB199" s="520"/>
      <x:c r="AC199" s="520"/>
      <x:c r="AD199" s="520"/>
      <x:c r="AE199" s="520"/>
      <x:c r="AF199" s="520"/>
      <x:c r="AG199" s="520"/>
      <x:c r="AH199" s="520"/>
      <x:c r="AI199" s="520"/>
      <x:c r="AJ199" s="520"/>
      <x:c r="AK199" s="520"/>
      <x:c r="AL199" s="520"/>
      <x:c r="AM199" s="520"/>
      <x:c r="AN199" s="520"/>
      <x:c r="AO199" s="520"/>
      <x:c r="AP199" s="520"/>
      <x:c r="AQ199" s="520"/>
      <x:c r="AR199" s="520"/>
      <x:c r="AS199" s="520"/>
      <x:c r="AT199" s="520"/>
      <x:c r="AU199" s="520"/>
      <x:c r="AV199" s="520"/>
      <x:c r="AW199" s="520"/>
      <x:c r="AX199" s="520"/>
      <x:c r="AY199" s="520"/>
      <x:c r="AZ199" s="520"/>
      <x:c r="BA199" s="520"/>
      <x:c r="BB199" s="520"/>
      <x:c r="BC199" s="520"/>
      <x:c r="BD199" s="521"/>
    </x:row>
    <x:row r="200" ht="19" customHeight="1">
      <x:c r="B200" s="668" t="str">
        <x:f>IF('CADASTRO DE LOJAS'!E82="SIM",'CADASTRO DE LOJAS'!B82,"")</x:f>
      </x:c>
      <x:c r="C200" s="520"/>
      <x:c r="D200" s="520"/>
      <x:c r="E200" s="520"/>
      <x:c r="F200" s="520"/>
      <x:c r="G200" s="520"/>
      <x:c r="H200" s="520"/>
      <x:c r="I200" s="520"/>
      <x:c r="J200" s="520"/>
      <x:c r="K200" s="520"/>
      <x:c r="L200" s="520"/>
      <x:c r="M200" s="520"/>
      <x:c r="N200" s="520"/>
      <x:c r="O200" s="520"/>
      <x:c r="P200" s="520"/>
      <x:c r="Q200" s="520"/>
      <x:c r="R200" s="520"/>
      <x:c r="S200" s="520"/>
      <x:c r="T200" s="520"/>
      <x:c r="U200" s="520"/>
      <x:c r="V200" s="520"/>
      <x:c r="W200" s="520"/>
      <x:c r="X200" s="520"/>
      <x:c r="Y200" s="520"/>
      <x:c r="Z200" s="520"/>
      <x:c r="AA200" s="520"/>
      <x:c r="AB200" s="520"/>
      <x:c r="AC200" s="520"/>
      <x:c r="AD200" s="520"/>
      <x:c r="AE200" s="520"/>
      <x:c r="AF200" s="520"/>
      <x:c r="AG200" s="520"/>
      <x:c r="AH200" s="520"/>
      <x:c r="AI200" s="520"/>
      <x:c r="AJ200" s="520"/>
      <x:c r="AK200" s="520"/>
      <x:c r="AL200" s="520"/>
      <x:c r="AM200" s="520"/>
      <x:c r="AN200" s="520"/>
      <x:c r="AO200" s="520"/>
      <x:c r="AP200" s="520"/>
      <x:c r="AQ200" s="520"/>
      <x:c r="AR200" s="520"/>
      <x:c r="AS200" s="520"/>
      <x:c r="AT200" s="520"/>
      <x:c r="AU200" s="520"/>
      <x:c r="AV200" s="520"/>
      <x:c r="AW200" s="520"/>
      <x:c r="AX200" s="520"/>
      <x:c r="AY200" s="520"/>
      <x:c r="AZ200" s="520"/>
      <x:c r="BA200" s="520"/>
      <x:c r="BB200" s="520"/>
      <x:c r="BC200" s="520"/>
      <x:c r="BD200" s="521"/>
    </x:row>
    <x:row r="201" ht="19" customHeight="1">
      <x:c r="B201" s="668" t="str">
        <x:f>IF('CADASTRO DE LOJAS'!E83="SIM",'CADASTRO DE LOJAS'!B83,"")</x:f>
      </x:c>
      <x:c r="C201" s="520"/>
      <x:c r="D201" s="520"/>
      <x:c r="E201" s="520"/>
      <x:c r="F201" s="520"/>
      <x:c r="G201" s="520"/>
      <x:c r="H201" s="520"/>
      <x:c r="I201" s="520"/>
      <x:c r="J201" s="520"/>
      <x:c r="K201" s="520"/>
      <x:c r="L201" s="520"/>
      <x:c r="M201" s="520"/>
      <x:c r="N201" s="520"/>
      <x:c r="O201" s="520"/>
      <x:c r="P201" s="520"/>
      <x:c r="Q201" s="520"/>
      <x:c r="R201" s="520"/>
      <x:c r="S201" s="520"/>
      <x:c r="T201" s="520"/>
      <x:c r="U201" s="520"/>
      <x:c r="V201" s="520"/>
      <x:c r="W201" s="520"/>
      <x:c r="X201" s="520"/>
      <x:c r="Y201" s="520"/>
      <x:c r="Z201" s="520"/>
      <x:c r="AA201" s="520"/>
      <x:c r="AB201" s="520"/>
      <x:c r="AC201" s="520"/>
      <x:c r="AD201" s="520"/>
      <x:c r="AE201" s="520"/>
      <x:c r="AF201" s="520"/>
      <x:c r="AG201" s="520"/>
      <x:c r="AH201" s="520"/>
      <x:c r="AI201" s="520"/>
      <x:c r="AJ201" s="520"/>
      <x:c r="AK201" s="520"/>
      <x:c r="AL201" s="520"/>
      <x:c r="AM201" s="520"/>
      <x:c r="AN201" s="520"/>
      <x:c r="AO201" s="520"/>
      <x:c r="AP201" s="520"/>
      <x:c r="AQ201" s="520"/>
      <x:c r="AR201" s="520"/>
      <x:c r="AS201" s="520"/>
      <x:c r="AT201" s="520"/>
      <x:c r="AU201" s="520"/>
      <x:c r="AV201" s="520"/>
      <x:c r="AW201" s="520"/>
      <x:c r="AX201" s="520"/>
      <x:c r="AY201" s="520"/>
      <x:c r="AZ201" s="520"/>
      <x:c r="BA201" s="520"/>
      <x:c r="BB201" s="520"/>
      <x:c r="BC201" s="520"/>
      <x:c r="BD201" s="521"/>
    </x:row>
    <x:row r="202" ht="19" customHeight="1">
      <x:c r="B202" s="668" t="str">
        <x:f>IF('CADASTRO DE LOJAS'!E84="SIM",'CADASTRO DE LOJAS'!B84,"")</x:f>
      </x:c>
      <x:c r="C202" s="520"/>
      <x:c r="D202" s="520"/>
      <x:c r="E202" s="520"/>
      <x:c r="F202" s="520"/>
      <x:c r="G202" s="520"/>
      <x:c r="H202" s="520"/>
      <x:c r="I202" s="520"/>
      <x:c r="J202" s="520"/>
      <x:c r="K202" s="520"/>
      <x:c r="L202" s="520"/>
      <x:c r="M202" s="520"/>
      <x:c r="N202" s="520"/>
      <x:c r="O202" s="520"/>
      <x:c r="P202" s="520"/>
      <x:c r="Q202" s="520"/>
      <x:c r="R202" s="520"/>
      <x:c r="S202" s="520"/>
      <x:c r="T202" s="520"/>
      <x:c r="U202" s="520"/>
      <x:c r="V202" s="520"/>
      <x:c r="W202" s="520"/>
      <x:c r="X202" s="520"/>
      <x:c r="Y202" s="520"/>
      <x:c r="Z202" s="520"/>
      <x:c r="AA202" s="520"/>
      <x:c r="AB202" s="520"/>
      <x:c r="AC202" s="520"/>
      <x:c r="AD202" s="520"/>
      <x:c r="AE202" s="520"/>
      <x:c r="AF202" s="520"/>
      <x:c r="AG202" s="520"/>
      <x:c r="AH202" s="520"/>
      <x:c r="AI202" s="520"/>
      <x:c r="AJ202" s="520"/>
      <x:c r="AK202" s="520"/>
      <x:c r="AL202" s="520"/>
      <x:c r="AM202" s="520"/>
      <x:c r="AN202" s="520"/>
      <x:c r="AO202" s="520"/>
      <x:c r="AP202" s="520"/>
      <x:c r="AQ202" s="520"/>
      <x:c r="AR202" s="520"/>
      <x:c r="AS202" s="520"/>
      <x:c r="AT202" s="520"/>
      <x:c r="AU202" s="520"/>
      <x:c r="AV202" s="520"/>
      <x:c r="AW202" s="520"/>
      <x:c r="AX202" s="520"/>
      <x:c r="AY202" s="520"/>
      <x:c r="AZ202" s="520"/>
      <x:c r="BA202" s="520"/>
      <x:c r="BB202" s="520"/>
      <x:c r="BC202" s="520"/>
      <x:c r="BD202" s="521"/>
    </x:row>
    <x:row r="203" ht="19" customHeight="1">
      <x:c r="B203" s="668" t="str">
        <x:f>IF('CADASTRO DE LOJAS'!E85="SIM",'CADASTRO DE LOJAS'!B85,"")</x:f>
      </x:c>
      <x:c r="C203" s="520"/>
      <x:c r="D203" s="520"/>
      <x:c r="E203" s="520"/>
      <x:c r="F203" s="520"/>
      <x:c r="G203" s="520"/>
      <x:c r="H203" s="520"/>
      <x:c r="I203" s="520"/>
      <x:c r="J203" s="520"/>
      <x:c r="K203" s="520"/>
      <x:c r="L203" s="520"/>
      <x:c r="M203" s="520"/>
      <x:c r="N203" s="520"/>
      <x:c r="O203" s="520"/>
      <x:c r="P203" s="520"/>
      <x:c r="Q203" s="520"/>
      <x:c r="R203" s="520"/>
      <x:c r="S203" s="520"/>
      <x:c r="T203" s="520"/>
      <x:c r="U203" s="520"/>
      <x:c r="V203" s="520"/>
      <x:c r="W203" s="520"/>
      <x:c r="X203" s="520"/>
      <x:c r="Y203" s="520"/>
      <x:c r="Z203" s="520"/>
      <x:c r="AA203" s="520"/>
      <x:c r="AB203" s="520"/>
      <x:c r="AC203" s="520"/>
      <x:c r="AD203" s="520"/>
      <x:c r="AE203" s="520"/>
      <x:c r="AF203" s="520"/>
      <x:c r="AG203" s="520"/>
      <x:c r="AH203" s="520"/>
      <x:c r="AI203" s="520"/>
      <x:c r="AJ203" s="520"/>
      <x:c r="AK203" s="520"/>
      <x:c r="AL203" s="520"/>
      <x:c r="AM203" s="520"/>
      <x:c r="AN203" s="520"/>
      <x:c r="AO203" s="520"/>
      <x:c r="AP203" s="520"/>
      <x:c r="AQ203" s="520"/>
      <x:c r="AR203" s="520"/>
      <x:c r="AS203" s="520"/>
      <x:c r="AT203" s="520"/>
      <x:c r="AU203" s="520"/>
      <x:c r="AV203" s="520"/>
      <x:c r="AW203" s="520"/>
      <x:c r="AX203" s="520"/>
      <x:c r="AY203" s="520"/>
      <x:c r="AZ203" s="520"/>
      <x:c r="BA203" s="520"/>
      <x:c r="BB203" s="520"/>
      <x:c r="BC203" s="520"/>
      <x:c r="BD203" s="521"/>
    </x:row>
    <x:row r="204" ht="19" customHeight="1">
      <x:c r="B204" s="668" t="str">
        <x:f>IF('CADASTRO DE LOJAS'!E86="SIM",'CADASTRO DE LOJAS'!B86,"")</x:f>
      </x:c>
      <x:c r="C204" s="520"/>
      <x:c r="D204" s="520"/>
      <x:c r="E204" s="520"/>
      <x:c r="F204" s="520"/>
      <x:c r="G204" s="520"/>
      <x:c r="H204" s="520"/>
      <x:c r="I204" s="520"/>
      <x:c r="J204" s="520"/>
      <x:c r="K204" s="520"/>
      <x:c r="L204" s="520"/>
      <x:c r="M204" s="520"/>
      <x:c r="N204" s="520"/>
      <x:c r="O204" s="520"/>
      <x:c r="P204" s="520"/>
      <x:c r="Q204" s="520"/>
      <x:c r="R204" s="520"/>
      <x:c r="S204" s="520"/>
      <x:c r="T204" s="520"/>
      <x:c r="U204" s="520"/>
      <x:c r="V204" s="520"/>
      <x:c r="W204" s="520"/>
      <x:c r="X204" s="520"/>
      <x:c r="Y204" s="520"/>
      <x:c r="Z204" s="520"/>
      <x:c r="AA204" s="520"/>
      <x:c r="AB204" s="520"/>
      <x:c r="AC204" s="520"/>
      <x:c r="AD204" s="520"/>
      <x:c r="AE204" s="520"/>
      <x:c r="AF204" s="520"/>
      <x:c r="AG204" s="520"/>
      <x:c r="AH204" s="520"/>
      <x:c r="AI204" s="520"/>
      <x:c r="AJ204" s="520"/>
      <x:c r="AK204" s="520"/>
      <x:c r="AL204" s="520"/>
      <x:c r="AM204" s="520"/>
      <x:c r="AN204" s="520"/>
      <x:c r="AO204" s="520"/>
      <x:c r="AP204" s="520"/>
      <x:c r="AQ204" s="520"/>
      <x:c r="AR204" s="520"/>
      <x:c r="AS204" s="520"/>
      <x:c r="AT204" s="520"/>
      <x:c r="AU204" s="520"/>
      <x:c r="AV204" s="520"/>
      <x:c r="AW204" s="520"/>
      <x:c r="AX204" s="520"/>
      <x:c r="AY204" s="520"/>
      <x:c r="AZ204" s="520"/>
      <x:c r="BA204" s="520"/>
      <x:c r="BB204" s="520"/>
      <x:c r="BC204" s="520"/>
      <x:c r="BD204" s="521"/>
    </x:row>
    <x:row r="205" ht="19" customHeight="1">
      <x:c r="B205" s="668" t="str">
        <x:f>IF('CADASTRO DE LOJAS'!E87="SIM",'CADASTRO DE LOJAS'!B87,"")</x:f>
      </x:c>
      <x:c r="C205" s="520"/>
      <x:c r="D205" s="520"/>
      <x:c r="E205" s="520"/>
      <x:c r="F205" s="520"/>
      <x:c r="G205" s="520"/>
      <x:c r="H205" s="520"/>
      <x:c r="I205" s="520"/>
      <x:c r="J205" s="520"/>
      <x:c r="K205" s="520"/>
      <x:c r="L205" s="520"/>
      <x:c r="M205" s="520"/>
      <x:c r="N205" s="520"/>
      <x:c r="O205" s="520"/>
      <x:c r="P205" s="520"/>
      <x:c r="Q205" s="520"/>
      <x:c r="R205" s="520"/>
      <x:c r="S205" s="520"/>
      <x:c r="T205" s="520"/>
      <x:c r="U205" s="520"/>
      <x:c r="V205" s="520"/>
      <x:c r="W205" s="520"/>
      <x:c r="X205" s="520"/>
      <x:c r="Y205" s="520"/>
      <x:c r="Z205" s="520"/>
      <x:c r="AA205" s="520"/>
      <x:c r="AB205" s="520"/>
      <x:c r="AC205" s="520"/>
      <x:c r="AD205" s="520"/>
      <x:c r="AE205" s="520"/>
      <x:c r="AF205" s="520"/>
      <x:c r="AG205" s="520"/>
      <x:c r="AH205" s="520"/>
      <x:c r="AI205" s="520"/>
      <x:c r="AJ205" s="520"/>
      <x:c r="AK205" s="520"/>
      <x:c r="AL205" s="520"/>
      <x:c r="AM205" s="520"/>
      <x:c r="AN205" s="520"/>
      <x:c r="AO205" s="520"/>
      <x:c r="AP205" s="520"/>
      <x:c r="AQ205" s="520"/>
      <x:c r="AR205" s="520"/>
      <x:c r="AS205" s="520"/>
      <x:c r="AT205" s="520"/>
      <x:c r="AU205" s="520"/>
      <x:c r="AV205" s="520"/>
      <x:c r="AW205" s="520"/>
      <x:c r="AX205" s="520"/>
      <x:c r="AY205" s="520"/>
      <x:c r="AZ205" s="520"/>
      <x:c r="BA205" s="520"/>
      <x:c r="BB205" s="520"/>
      <x:c r="BC205" s="520"/>
      <x:c r="BD205" s="521"/>
    </x:row>
    <x:row r="206" ht="19" customHeight="1">
      <x:c r="B206" s="668" t="str">
        <x:f>IF('CADASTRO DE LOJAS'!E88="SIM",'CADASTRO DE LOJAS'!B88,"")</x:f>
      </x:c>
      <x:c r="C206" s="520"/>
      <x:c r="D206" s="520"/>
      <x:c r="E206" s="520"/>
      <x:c r="F206" s="520"/>
      <x:c r="G206" s="520"/>
      <x:c r="H206" s="520"/>
      <x:c r="I206" s="520"/>
      <x:c r="J206" s="520"/>
      <x:c r="K206" s="520"/>
      <x:c r="L206" s="520"/>
      <x:c r="M206" s="520"/>
      <x:c r="N206" s="520"/>
      <x:c r="O206" s="520"/>
      <x:c r="P206" s="520"/>
      <x:c r="Q206" s="520"/>
      <x:c r="R206" s="520"/>
      <x:c r="S206" s="520"/>
      <x:c r="T206" s="520"/>
      <x:c r="U206" s="520"/>
      <x:c r="V206" s="520"/>
      <x:c r="W206" s="520"/>
      <x:c r="X206" s="520"/>
      <x:c r="Y206" s="520"/>
      <x:c r="Z206" s="520"/>
      <x:c r="AA206" s="520"/>
      <x:c r="AB206" s="520"/>
      <x:c r="AC206" s="520"/>
      <x:c r="AD206" s="520"/>
      <x:c r="AE206" s="520"/>
      <x:c r="AF206" s="520"/>
      <x:c r="AG206" s="520"/>
      <x:c r="AH206" s="520"/>
      <x:c r="AI206" s="520"/>
      <x:c r="AJ206" s="520"/>
      <x:c r="AK206" s="520"/>
      <x:c r="AL206" s="520"/>
      <x:c r="AM206" s="520"/>
      <x:c r="AN206" s="520"/>
      <x:c r="AO206" s="520"/>
      <x:c r="AP206" s="520"/>
      <x:c r="AQ206" s="520"/>
      <x:c r="AR206" s="520"/>
      <x:c r="AS206" s="520"/>
      <x:c r="AT206" s="520"/>
      <x:c r="AU206" s="520"/>
      <x:c r="AV206" s="520"/>
      <x:c r="AW206" s="520"/>
      <x:c r="AX206" s="520"/>
      <x:c r="AY206" s="520"/>
      <x:c r="AZ206" s="520"/>
      <x:c r="BA206" s="520"/>
      <x:c r="BB206" s="520"/>
      <x:c r="BC206" s="520"/>
      <x:c r="BD206" s="521"/>
    </x:row>
    <x:row r="207" ht="19" customHeight="1">
      <x:c r="B207" s="668" t="str">
        <x:f>IF('CADASTRO DE LOJAS'!E89="SIM",'CADASTRO DE LOJAS'!B89,"")</x:f>
      </x:c>
      <x:c r="C207" s="520"/>
      <x:c r="D207" s="520"/>
      <x:c r="E207" s="520"/>
      <x:c r="F207" s="520"/>
      <x:c r="G207" s="520"/>
      <x:c r="H207" s="520"/>
      <x:c r="I207" s="520"/>
      <x:c r="J207" s="520"/>
      <x:c r="K207" s="520"/>
      <x:c r="L207" s="520"/>
      <x:c r="M207" s="520"/>
      <x:c r="N207" s="520"/>
      <x:c r="O207" s="520"/>
      <x:c r="P207" s="520"/>
      <x:c r="Q207" s="520"/>
      <x:c r="R207" s="520"/>
      <x:c r="S207" s="520"/>
      <x:c r="T207" s="520"/>
      <x:c r="U207" s="520"/>
      <x:c r="V207" s="520"/>
      <x:c r="W207" s="520"/>
      <x:c r="X207" s="520"/>
      <x:c r="Y207" s="520"/>
      <x:c r="Z207" s="520"/>
      <x:c r="AA207" s="520"/>
      <x:c r="AB207" s="520"/>
      <x:c r="AC207" s="520"/>
      <x:c r="AD207" s="520"/>
      <x:c r="AE207" s="520"/>
      <x:c r="AF207" s="520"/>
      <x:c r="AG207" s="520"/>
      <x:c r="AH207" s="520"/>
      <x:c r="AI207" s="520"/>
      <x:c r="AJ207" s="520"/>
      <x:c r="AK207" s="520"/>
      <x:c r="AL207" s="520"/>
      <x:c r="AM207" s="520"/>
      <x:c r="AN207" s="520"/>
      <x:c r="AO207" s="520"/>
      <x:c r="AP207" s="520"/>
      <x:c r="AQ207" s="520"/>
      <x:c r="AR207" s="520"/>
      <x:c r="AS207" s="520"/>
      <x:c r="AT207" s="520"/>
      <x:c r="AU207" s="520"/>
      <x:c r="AV207" s="520"/>
      <x:c r="AW207" s="520"/>
      <x:c r="AX207" s="520"/>
      <x:c r="AY207" s="520"/>
      <x:c r="AZ207" s="520"/>
      <x:c r="BA207" s="520"/>
      <x:c r="BB207" s="520"/>
      <x:c r="BC207" s="520"/>
      <x:c r="BD207" s="521"/>
    </x:row>
    <x:row r="208" ht="19" customHeight="1">
      <x:c r="B208" s="668" t="str">
        <x:f>IF('CADASTRO DE LOJAS'!E90="SIM",'CADASTRO DE LOJAS'!B90,"")</x:f>
      </x:c>
      <x:c r="C208" s="520"/>
      <x:c r="D208" s="520"/>
      <x:c r="E208" s="520"/>
      <x:c r="F208" s="520"/>
      <x:c r="G208" s="520"/>
      <x:c r="H208" s="520"/>
      <x:c r="I208" s="520"/>
      <x:c r="J208" s="520"/>
      <x:c r="K208" s="520"/>
      <x:c r="L208" s="520"/>
      <x:c r="M208" s="520"/>
      <x:c r="N208" s="520"/>
      <x:c r="O208" s="520"/>
      <x:c r="P208" s="520"/>
      <x:c r="Q208" s="520"/>
      <x:c r="R208" s="520"/>
      <x:c r="S208" s="520"/>
      <x:c r="T208" s="520"/>
      <x:c r="U208" s="520"/>
      <x:c r="V208" s="520"/>
      <x:c r="W208" s="520"/>
      <x:c r="X208" s="520"/>
      <x:c r="Y208" s="520"/>
      <x:c r="Z208" s="520"/>
      <x:c r="AA208" s="520"/>
      <x:c r="AB208" s="520"/>
      <x:c r="AC208" s="520"/>
      <x:c r="AD208" s="520"/>
      <x:c r="AE208" s="520"/>
      <x:c r="AF208" s="520"/>
      <x:c r="AG208" s="520"/>
      <x:c r="AH208" s="520"/>
      <x:c r="AI208" s="520"/>
      <x:c r="AJ208" s="520"/>
      <x:c r="AK208" s="520"/>
      <x:c r="AL208" s="520"/>
      <x:c r="AM208" s="520"/>
      <x:c r="AN208" s="520"/>
      <x:c r="AO208" s="520"/>
      <x:c r="AP208" s="520"/>
      <x:c r="AQ208" s="520"/>
      <x:c r="AR208" s="520"/>
      <x:c r="AS208" s="520"/>
      <x:c r="AT208" s="520"/>
      <x:c r="AU208" s="520"/>
      <x:c r="AV208" s="520"/>
      <x:c r="AW208" s="520"/>
      <x:c r="AX208" s="520"/>
      <x:c r="AY208" s="520"/>
      <x:c r="AZ208" s="520"/>
      <x:c r="BA208" s="520"/>
      <x:c r="BB208" s="520"/>
      <x:c r="BC208" s="520"/>
      <x:c r="BD208" s="521"/>
    </x:row>
    <x:row r="209" ht="19" customHeight="1">
      <x:c r="B209" s="668" t="str">
        <x:f>IF('CADASTRO DE LOJAS'!E91="SIM",'CADASTRO DE LOJAS'!B91,"")</x:f>
      </x:c>
      <x:c r="C209" s="520"/>
      <x:c r="D209" s="520"/>
      <x:c r="E209" s="520"/>
      <x:c r="F209" s="520"/>
      <x:c r="G209" s="520"/>
      <x:c r="H209" s="520"/>
      <x:c r="I209" s="520"/>
      <x:c r="J209" s="520"/>
      <x:c r="K209" s="520"/>
      <x:c r="L209" s="520"/>
      <x:c r="M209" s="520"/>
      <x:c r="N209" s="520"/>
      <x:c r="O209" s="520"/>
      <x:c r="P209" s="520"/>
      <x:c r="Q209" s="520"/>
      <x:c r="R209" s="520"/>
      <x:c r="S209" s="520"/>
      <x:c r="T209" s="520"/>
      <x:c r="U209" s="520"/>
      <x:c r="V209" s="520"/>
      <x:c r="W209" s="520"/>
      <x:c r="X209" s="520"/>
      <x:c r="Y209" s="520"/>
      <x:c r="Z209" s="520"/>
      <x:c r="AA209" s="520"/>
      <x:c r="AB209" s="520"/>
      <x:c r="AC209" s="520"/>
      <x:c r="AD209" s="520"/>
      <x:c r="AE209" s="520"/>
      <x:c r="AF209" s="520"/>
      <x:c r="AG209" s="520"/>
      <x:c r="AH209" s="520"/>
      <x:c r="AI209" s="520"/>
      <x:c r="AJ209" s="520"/>
      <x:c r="AK209" s="520"/>
      <x:c r="AL209" s="520"/>
      <x:c r="AM209" s="520"/>
      <x:c r="AN209" s="520"/>
      <x:c r="AO209" s="520"/>
      <x:c r="AP209" s="520"/>
      <x:c r="AQ209" s="520"/>
      <x:c r="AR209" s="520"/>
      <x:c r="AS209" s="520"/>
      <x:c r="AT209" s="520"/>
      <x:c r="AU209" s="520"/>
      <x:c r="AV209" s="520"/>
      <x:c r="AW209" s="520"/>
      <x:c r="AX209" s="520"/>
      <x:c r="AY209" s="520"/>
      <x:c r="AZ209" s="520"/>
      <x:c r="BA209" s="520"/>
      <x:c r="BB209" s="520"/>
      <x:c r="BC209" s="520"/>
      <x:c r="BD209" s="521"/>
    </x:row>
    <x:row r="210" ht="19" customHeight="1">
      <x:c r="B210" s="668" t="str">
        <x:f>IF('CADASTRO DE LOJAS'!E92="SIM",'CADASTRO DE LOJAS'!B92,"")</x:f>
      </x:c>
      <x:c r="C210" s="520"/>
      <x:c r="D210" s="520"/>
      <x:c r="E210" s="520"/>
      <x:c r="F210" s="520"/>
      <x:c r="G210" s="520"/>
      <x:c r="H210" s="520"/>
      <x:c r="I210" s="520"/>
      <x:c r="J210" s="520"/>
      <x:c r="K210" s="520"/>
      <x:c r="L210" s="520"/>
      <x:c r="M210" s="520"/>
      <x:c r="N210" s="520"/>
      <x:c r="O210" s="520"/>
      <x:c r="P210" s="520"/>
      <x:c r="Q210" s="520"/>
      <x:c r="R210" s="520"/>
      <x:c r="S210" s="520"/>
      <x:c r="T210" s="520"/>
      <x:c r="U210" s="520"/>
      <x:c r="V210" s="520"/>
      <x:c r="W210" s="520"/>
      <x:c r="X210" s="520"/>
      <x:c r="Y210" s="520"/>
      <x:c r="Z210" s="520"/>
      <x:c r="AA210" s="520"/>
      <x:c r="AB210" s="520"/>
      <x:c r="AC210" s="520"/>
      <x:c r="AD210" s="520"/>
      <x:c r="AE210" s="520"/>
      <x:c r="AF210" s="520"/>
      <x:c r="AG210" s="520"/>
      <x:c r="AH210" s="520"/>
      <x:c r="AI210" s="520"/>
      <x:c r="AJ210" s="520"/>
      <x:c r="AK210" s="520"/>
      <x:c r="AL210" s="520"/>
      <x:c r="AM210" s="520"/>
      <x:c r="AN210" s="520"/>
      <x:c r="AO210" s="520"/>
      <x:c r="AP210" s="520"/>
      <x:c r="AQ210" s="520"/>
      <x:c r="AR210" s="520"/>
      <x:c r="AS210" s="520"/>
      <x:c r="AT210" s="520"/>
      <x:c r="AU210" s="520"/>
      <x:c r="AV210" s="520"/>
      <x:c r="AW210" s="520"/>
      <x:c r="AX210" s="520"/>
      <x:c r="AY210" s="520"/>
      <x:c r="AZ210" s="520"/>
      <x:c r="BA210" s="520"/>
      <x:c r="BB210" s="520"/>
      <x:c r="BC210" s="520"/>
      <x:c r="BD210" s="521"/>
    </x:row>
    <x:row r="211" ht="19" customHeight="1">
      <x:c r="B211" s="668" t="str">
        <x:f>IF('CADASTRO DE LOJAS'!E93="SIM",'CADASTRO DE LOJAS'!B93,"")</x:f>
      </x:c>
      <x:c r="C211" s="520"/>
      <x:c r="D211" s="520"/>
      <x:c r="E211" s="520"/>
      <x:c r="F211" s="520"/>
      <x:c r="G211" s="520"/>
      <x:c r="H211" s="520"/>
      <x:c r="I211" s="520"/>
      <x:c r="J211" s="520"/>
      <x:c r="K211" s="520"/>
      <x:c r="L211" s="520"/>
      <x:c r="M211" s="520"/>
      <x:c r="N211" s="520"/>
      <x:c r="O211" s="520"/>
      <x:c r="P211" s="520"/>
      <x:c r="Q211" s="520"/>
      <x:c r="R211" s="520"/>
      <x:c r="S211" s="520"/>
      <x:c r="T211" s="520"/>
      <x:c r="U211" s="520"/>
      <x:c r="V211" s="520"/>
      <x:c r="W211" s="520"/>
      <x:c r="X211" s="520"/>
      <x:c r="Y211" s="520"/>
      <x:c r="Z211" s="520"/>
      <x:c r="AA211" s="520"/>
      <x:c r="AB211" s="520"/>
      <x:c r="AC211" s="520"/>
      <x:c r="AD211" s="520"/>
      <x:c r="AE211" s="520"/>
      <x:c r="AF211" s="520"/>
      <x:c r="AG211" s="520"/>
      <x:c r="AH211" s="520"/>
      <x:c r="AI211" s="520"/>
      <x:c r="AJ211" s="520"/>
      <x:c r="AK211" s="520"/>
      <x:c r="AL211" s="520"/>
      <x:c r="AM211" s="520"/>
      <x:c r="AN211" s="520"/>
      <x:c r="AO211" s="520"/>
      <x:c r="AP211" s="520"/>
      <x:c r="AQ211" s="520"/>
      <x:c r="AR211" s="520"/>
      <x:c r="AS211" s="520"/>
      <x:c r="AT211" s="520"/>
      <x:c r="AU211" s="520"/>
      <x:c r="AV211" s="520"/>
      <x:c r="AW211" s="520"/>
      <x:c r="AX211" s="520"/>
      <x:c r="AY211" s="520"/>
      <x:c r="AZ211" s="520"/>
      <x:c r="BA211" s="520"/>
      <x:c r="BB211" s="520"/>
      <x:c r="BC211" s="520"/>
      <x:c r="BD211" s="521"/>
    </x:row>
    <x:row r="212" ht="19" customHeight="1">
      <x:c r="B212" s="668" t="str">
        <x:f>IF('CADASTRO DE LOJAS'!E94="SIM",'CADASTRO DE LOJAS'!B94,"")</x:f>
      </x:c>
      <x:c r="C212" s="520"/>
      <x:c r="D212" s="520"/>
      <x:c r="E212" s="520"/>
      <x:c r="F212" s="520"/>
      <x:c r="G212" s="520"/>
      <x:c r="H212" s="520"/>
      <x:c r="I212" s="520"/>
      <x:c r="J212" s="520"/>
      <x:c r="K212" s="520"/>
      <x:c r="L212" s="520"/>
      <x:c r="M212" s="520"/>
      <x:c r="N212" s="520"/>
      <x:c r="O212" s="520"/>
      <x:c r="P212" s="520"/>
      <x:c r="Q212" s="520"/>
      <x:c r="R212" s="520"/>
      <x:c r="S212" s="520"/>
      <x:c r="T212" s="520"/>
      <x:c r="U212" s="520"/>
      <x:c r="V212" s="520"/>
      <x:c r="W212" s="520"/>
      <x:c r="X212" s="520"/>
      <x:c r="Y212" s="520"/>
      <x:c r="Z212" s="520"/>
      <x:c r="AA212" s="520"/>
      <x:c r="AB212" s="520"/>
      <x:c r="AC212" s="520"/>
      <x:c r="AD212" s="520"/>
      <x:c r="AE212" s="520"/>
      <x:c r="AF212" s="520"/>
      <x:c r="AG212" s="520"/>
      <x:c r="AH212" s="520"/>
      <x:c r="AI212" s="520"/>
      <x:c r="AJ212" s="520"/>
      <x:c r="AK212" s="520"/>
      <x:c r="AL212" s="520"/>
      <x:c r="AM212" s="520"/>
      <x:c r="AN212" s="520"/>
      <x:c r="AO212" s="520"/>
      <x:c r="AP212" s="520"/>
      <x:c r="AQ212" s="520"/>
      <x:c r="AR212" s="520"/>
      <x:c r="AS212" s="520"/>
      <x:c r="AT212" s="520"/>
      <x:c r="AU212" s="520"/>
      <x:c r="AV212" s="520"/>
      <x:c r="AW212" s="520"/>
      <x:c r="AX212" s="520"/>
      <x:c r="AY212" s="520"/>
      <x:c r="AZ212" s="520"/>
      <x:c r="BA212" s="520"/>
      <x:c r="BB212" s="520"/>
      <x:c r="BC212" s="520"/>
      <x:c r="BD212" s="521"/>
    </x:row>
    <x:row r="213" ht="19" customHeight="1">
      <x:c r="B213" s="668" t="str">
        <x:f>IF('CADASTRO DE LOJAS'!E95="SIM",'CADASTRO DE LOJAS'!B95,"")</x:f>
      </x:c>
      <x:c r="C213" s="520"/>
      <x:c r="D213" s="520"/>
      <x:c r="E213" s="520"/>
      <x:c r="F213" s="520"/>
      <x:c r="G213" s="520"/>
      <x:c r="H213" s="520"/>
      <x:c r="I213" s="520"/>
      <x:c r="J213" s="520"/>
      <x:c r="K213" s="520"/>
      <x:c r="L213" s="520"/>
      <x:c r="M213" s="520"/>
      <x:c r="N213" s="520"/>
      <x:c r="O213" s="520"/>
      <x:c r="P213" s="520"/>
      <x:c r="Q213" s="520"/>
      <x:c r="R213" s="520"/>
      <x:c r="S213" s="520"/>
      <x:c r="T213" s="520"/>
      <x:c r="U213" s="520"/>
      <x:c r="V213" s="520"/>
      <x:c r="W213" s="520"/>
      <x:c r="X213" s="520"/>
      <x:c r="Y213" s="520"/>
      <x:c r="Z213" s="520"/>
      <x:c r="AA213" s="520"/>
      <x:c r="AB213" s="520"/>
      <x:c r="AC213" s="520"/>
      <x:c r="AD213" s="520"/>
      <x:c r="AE213" s="520"/>
      <x:c r="AF213" s="520"/>
      <x:c r="AG213" s="520"/>
      <x:c r="AH213" s="520"/>
      <x:c r="AI213" s="520"/>
      <x:c r="AJ213" s="520"/>
      <x:c r="AK213" s="520"/>
      <x:c r="AL213" s="520"/>
      <x:c r="AM213" s="520"/>
      <x:c r="AN213" s="520"/>
      <x:c r="AO213" s="520"/>
      <x:c r="AP213" s="520"/>
      <x:c r="AQ213" s="520"/>
      <x:c r="AR213" s="520"/>
      <x:c r="AS213" s="520"/>
      <x:c r="AT213" s="520"/>
      <x:c r="AU213" s="520"/>
      <x:c r="AV213" s="520"/>
      <x:c r="AW213" s="520"/>
      <x:c r="AX213" s="520"/>
      <x:c r="AY213" s="520"/>
      <x:c r="AZ213" s="520"/>
      <x:c r="BA213" s="520"/>
      <x:c r="BB213" s="520"/>
      <x:c r="BC213" s="520"/>
      <x:c r="BD213" s="521"/>
    </x:row>
    <x:row r="214" ht="19" customHeight="1">
      <x:c r="B214" s="668" t="str">
        <x:f>IF('CADASTRO DE LOJAS'!E96="SIM",'CADASTRO DE LOJAS'!B96,"")</x:f>
      </x:c>
      <x:c r="C214" s="520"/>
      <x:c r="D214" s="520"/>
      <x:c r="E214" s="520"/>
      <x:c r="F214" s="520"/>
      <x:c r="G214" s="520"/>
      <x:c r="H214" s="520"/>
      <x:c r="I214" s="520"/>
      <x:c r="J214" s="520"/>
      <x:c r="K214" s="520"/>
      <x:c r="L214" s="520"/>
      <x:c r="M214" s="520"/>
      <x:c r="N214" s="520"/>
      <x:c r="O214" s="520"/>
      <x:c r="P214" s="520"/>
      <x:c r="Q214" s="520"/>
      <x:c r="R214" s="520"/>
      <x:c r="S214" s="520"/>
      <x:c r="T214" s="520"/>
      <x:c r="U214" s="520"/>
      <x:c r="V214" s="520"/>
      <x:c r="W214" s="520"/>
      <x:c r="X214" s="520"/>
      <x:c r="Y214" s="520"/>
      <x:c r="Z214" s="520"/>
      <x:c r="AA214" s="520"/>
      <x:c r="AB214" s="520"/>
      <x:c r="AC214" s="520"/>
      <x:c r="AD214" s="520"/>
      <x:c r="AE214" s="520"/>
      <x:c r="AF214" s="520"/>
      <x:c r="AG214" s="520"/>
      <x:c r="AH214" s="520"/>
      <x:c r="AI214" s="520"/>
      <x:c r="AJ214" s="520"/>
      <x:c r="AK214" s="520"/>
      <x:c r="AL214" s="520"/>
      <x:c r="AM214" s="520"/>
      <x:c r="AN214" s="520"/>
      <x:c r="AO214" s="520"/>
      <x:c r="AP214" s="520"/>
      <x:c r="AQ214" s="520"/>
      <x:c r="AR214" s="520"/>
      <x:c r="AS214" s="520"/>
      <x:c r="AT214" s="520"/>
      <x:c r="AU214" s="520"/>
      <x:c r="AV214" s="520"/>
      <x:c r="AW214" s="520"/>
      <x:c r="AX214" s="520"/>
      <x:c r="AY214" s="520"/>
      <x:c r="AZ214" s="520"/>
      <x:c r="BA214" s="520"/>
      <x:c r="BB214" s="520"/>
      <x:c r="BC214" s="520"/>
      <x:c r="BD214" s="521"/>
    </x:row>
    <x:row r="215" ht="19" customHeight="1">
      <x:c r="B215" s="668" t="str">
        <x:f>IF('CADASTRO DE LOJAS'!E97="SIM",'CADASTRO DE LOJAS'!B97,"")</x:f>
      </x:c>
      <x:c r="C215" s="520"/>
      <x:c r="D215" s="520"/>
      <x:c r="E215" s="520"/>
      <x:c r="F215" s="520"/>
      <x:c r="G215" s="520"/>
      <x:c r="H215" s="520"/>
      <x:c r="I215" s="520"/>
      <x:c r="J215" s="520"/>
      <x:c r="K215" s="520"/>
      <x:c r="L215" s="520"/>
      <x:c r="M215" s="520"/>
      <x:c r="N215" s="520"/>
      <x:c r="O215" s="520"/>
      <x:c r="P215" s="520"/>
      <x:c r="Q215" s="520"/>
      <x:c r="R215" s="520"/>
      <x:c r="S215" s="520"/>
      <x:c r="T215" s="520"/>
      <x:c r="U215" s="520"/>
      <x:c r="V215" s="520"/>
      <x:c r="W215" s="520"/>
      <x:c r="X215" s="520"/>
      <x:c r="Y215" s="520"/>
      <x:c r="Z215" s="520"/>
      <x:c r="AA215" s="520"/>
      <x:c r="AB215" s="520"/>
      <x:c r="AC215" s="520"/>
      <x:c r="AD215" s="520"/>
      <x:c r="AE215" s="520"/>
      <x:c r="AF215" s="520"/>
      <x:c r="AG215" s="520"/>
      <x:c r="AH215" s="520"/>
      <x:c r="AI215" s="520"/>
      <x:c r="AJ215" s="520"/>
      <x:c r="AK215" s="520"/>
      <x:c r="AL215" s="520"/>
      <x:c r="AM215" s="520"/>
      <x:c r="AN215" s="520"/>
      <x:c r="AO215" s="520"/>
      <x:c r="AP215" s="520"/>
      <x:c r="AQ215" s="520"/>
      <x:c r="AR215" s="520"/>
      <x:c r="AS215" s="520"/>
      <x:c r="AT215" s="520"/>
      <x:c r="AU215" s="520"/>
      <x:c r="AV215" s="520"/>
      <x:c r="AW215" s="520"/>
      <x:c r="AX215" s="520"/>
      <x:c r="AY215" s="520"/>
      <x:c r="AZ215" s="520"/>
      <x:c r="BA215" s="520"/>
      <x:c r="BB215" s="520"/>
      <x:c r="BC215" s="520"/>
      <x:c r="BD215" s="521"/>
    </x:row>
    <x:row r="216" ht="19" customHeight="1">
      <x:c r="B216" s="668" t="str">
        <x:f>IF('CADASTRO DE LOJAS'!E98="SIM",'CADASTRO DE LOJAS'!B98,"")</x:f>
      </x:c>
      <x:c r="C216" s="520"/>
      <x:c r="D216" s="520"/>
      <x:c r="E216" s="520"/>
      <x:c r="F216" s="520"/>
      <x:c r="G216" s="520"/>
      <x:c r="H216" s="520"/>
      <x:c r="I216" s="520"/>
      <x:c r="J216" s="520"/>
      <x:c r="K216" s="520"/>
      <x:c r="L216" s="520"/>
      <x:c r="M216" s="520"/>
      <x:c r="N216" s="520"/>
      <x:c r="O216" s="520"/>
      <x:c r="P216" s="520"/>
      <x:c r="Q216" s="520"/>
      <x:c r="R216" s="520"/>
      <x:c r="S216" s="520"/>
      <x:c r="T216" s="520"/>
      <x:c r="U216" s="520"/>
      <x:c r="V216" s="520"/>
      <x:c r="W216" s="520"/>
      <x:c r="X216" s="520"/>
      <x:c r="Y216" s="520"/>
      <x:c r="Z216" s="520"/>
      <x:c r="AA216" s="520"/>
      <x:c r="AB216" s="520"/>
      <x:c r="AC216" s="520"/>
      <x:c r="AD216" s="520"/>
      <x:c r="AE216" s="520"/>
      <x:c r="AF216" s="520"/>
      <x:c r="AG216" s="520"/>
      <x:c r="AH216" s="520"/>
      <x:c r="AI216" s="520"/>
      <x:c r="AJ216" s="520"/>
      <x:c r="AK216" s="520"/>
      <x:c r="AL216" s="520"/>
      <x:c r="AM216" s="520"/>
      <x:c r="AN216" s="520"/>
      <x:c r="AO216" s="520"/>
      <x:c r="AP216" s="520"/>
      <x:c r="AQ216" s="520"/>
      <x:c r="AR216" s="520"/>
      <x:c r="AS216" s="520"/>
      <x:c r="AT216" s="520"/>
      <x:c r="AU216" s="520"/>
      <x:c r="AV216" s="520"/>
      <x:c r="AW216" s="520"/>
      <x:c r="AX216" s="520"/>
      <x:c r="AY216" s="520"/>
      <x:c r="AZ216" s="520"/>
      <x:c r="BA216" s="520"/>
      <x:c r="BB216" s="520"/>
      <x:c r="BC216" s="520"/>
      <x:c r="BD216" s="521"/>
    </x:row>
    <x:row r="217" ht="19" customHeight="1">
      <x:c r="B217" s="668" t="str">
        <x:f>IF('CADASTRO DE LOJAS'!E99="SIM",'CADASTRO DE LOJAS'!B99,"")</x:f>
      </x:c>
      <x:c r="C217" s="520"/>
      <x:c r="D217" s="520"/>
      <x:c r="E217" s="520"/>
      <x:c r="F217" s="520"/>
      <x:c r="G217" s="520"/>
      <x:c r="H217" s="520"/>
      <x:c r="I217" s="520"/>
      <x:c r="J217" s="520"/>
      <x:c r="K217" s="520"/>
      <x:c r="L217" s="520"/>
      <x:c r="M217" s="520"/>
      <x:c r="N217" s="520"/>
      <x:c r="O217" s="520"/>
      <x:c r="P217" s="520"/>
      <x:c r="Q217" s="520"/>
      <x:c r="R217" s="520"/>
      <x:c r="S217" s="520"/>
      <x:c r="T217" s="520"/>
      <x:c r="U217" s="520"/>
      <x:c r="V217" s="520"/>
      <x:c r="W217" s="520"/>
      <x:c r="X217" s="520"/>
      <x:c r="Y217" s="520"/>
      <x:c r="Z217" s="520"/>
      <x:c r="AA217" s="520"/>
      <x:c r="AB217" s="520"/>
      <x:c r="AC217" s="520"/>
      <x:c r="AD217" s="520"/>
      <x:c r="AE217" s="520"/>
      <x:c r="AF217" s="520"/>
      <x:c r="AG217" s="520"/>
      <x:c r="AH217" s="520"/>
      <x:c r="AI217" s="520"/>
      <x:c r="AJ217" s="520"/>
      <x:c r="AK217" s="520"/>
      <x:c r="AL217" s="520"/>
      <x:c r="AM217" s="520"/>
      <x:c r="AN217" s="520"/>
      <x:c r="AO217" s="520"/>
      <x:c r="AP217" s="520"/>
      <x:c r="AQ217" s="520"/>
      <x:c r="AR217" s="520"/>
      <x:c r="AS217" s="520"/>
      <x:c r="AT217" s="520"/>
      <x:c r="AU217" s="520"/>
      <x:c r="AV217" s="520"/>
      <x:c r="AW217" s="520"/>
      <x:c r="AX217" s="520"/>
      <x:c r="AY217" s="520"/>
      <x:c r="AZ217" s="520"/>
      <x:c r="BA217" s="520"/>
      <x:c r="BB217" s="520"/>
      <x:c r="BC217" s="520"/>
      <x:c r="BD217" s="521"/>
    </x:row>
    <x:row r="218" ht="19" customHeight="1">
      <x:c r="B218" s="668" t="str">
        <x:f>IF('CADASTRO DE LOJAS'!E100="SIM",'CADASTRO DE LOJAS'!B100,"")</x:f>
      </x:c>
      <x:c r="C218" s="520"/>
      <x:c r="D218" s="520"/>
      <x:c r="E218" s="520"/>
      <x:c r="F218" s="520"/>
      <x:c r="G218" s="520"/>
      <x:c r="H218" s="520"/>
      <x:c r="I218" s="520"/>
      <x:c r="J218" s="520"/>
      <x:c r="K218" s="520"/>
      <x:c r="L218" s="520"/>
      <x:c r="M218" s="520"/>
      <x:c r="N218" s="520"/>
      <x:c r="O218" s="520"/>
      <x:c r="P218" s="520"/>
      <x:c r="Q218" s="520"/>
      <x:c r="R218" s="520"/>
      <x:c r="S218" s="520"/>
      <x:c r="T218" s="520"/>
      <x:c r="U218" s="520"/>
      <x:c r="V218" s="520"/>
      <x:c r="W218" s="520"/>
      <x:c r="X218" s="520"/>
      <x:c r="Y218" s="520"/>
      <x:c r="Z218" s="520"/>
      <x:c r="AA218" s="520"/>
      <x:c r="AB218" s="520"/>
      <x:c r="AC218" s="520"/>
      <x:c r="AD218" s="520"/>
      <x:c r="AE218" s="520"/>
      <x:c r="AF218" s="520"/>
      <x:c r="AG218" s="520"/>
      <x:c r="AH218" s="520"/>
      <x:c r="AI218" s="520"/>
      <x:c r="AJ218" s="520"/>
      <x:c r="AK218" s="520"/>
      <x:c r="AL218" s="520"/>
      <x:c r="AM218" s="520"/>
      <x:c r="AN218" s="520"/>
      <x:c r="AO218" s="520"/>
      <x:c r="AP218" s="520"/>
      <x:c r="AQ218" s="520"/>
      <x:c r="AR218" s="520"/>
      <x:c r="AS218" s="520"/>
      <x:c r="AT218" s="520"/>
      <x:c r="AU218" s="520"/>
      <x:c r="AV218" s="520"/>
      <x:c r="AW218" s="520"/>
      <x:c r="AX218" s="520"/>
      <x:c r="AY218" s="520"/>
      <x:c r="AZ218" s="520"/>
      <x:c r="BA218" s="520"/>
      <x:c r="BB218" s="520"/>
      <x:c r="BC218" s="520"/>
      <x:c r="BD218" s="521"/>
    </x:row>
    <x:row r="219" ht="19" customHeight="1">
      <x:c r="B219" s="668" t="str">
        <x:f>IF('CADASTRO DE LOJAS'!E101="SIM",'CADASTRO DE LOJAS'!B101,"")</x:f>
      </x:c>
      <x:c r="C219" s="520"/>
      <x:c r="D219" s="520"/>
      <x:c r="E219" s="520"/>
      <x:c r="F219" s="520"/>
      <x:c r="G219" s="520"/>
      <x:c r="H219" s="520"/>
      <x:c r="I219" s="520"/>
      <x:c r="J219" s="520"/>
      <x:c r="K219" s="520"/>
      <x:c r="L219" s="520"/>
      <x:c r="M219" s="520"/>
      <x:c r="N219" s="520"/>
      <x:c r="O219" s="520"/>
      <x:c r="P219" s="520"/>
      <x:c r="Q219" s="520"/>
      <x:c r="R219" s="520"/>
      <x:c r="S219" s="520"/>
      <x:c r="T219" s="520"/>
      <x:c r="U219" s="520"/>
      <x:c r="V219" s="520"/>
      <x:c r="W219" s="520"/>
      <x:c r="X219" s="520"/>
      <x:c r="Y219" s="520"/>
      <x:c r="Z219" s="520"/>
      <x:c r="AA219" s="520"/>
      <x:c r="AB219" s="520"/>
      <x:c r="AC219" s="520"/>
      <x:c r="AD219" s="520"/>
      <x:c r="AE219" s="520"/>
      <x:c r="AF219" s="520"/>
      <x:c r="AG219" s="520"/>
      <x:c r="AH219" s="520"/>
      <x:c r="AI219" s="520"/>
      <x:c r="AJ219" s="520"/>
      <x:c r="AK219" s="520"/>
      <x:c r="AL219" s="520"/>
      <x:c r="AM219" s="520"/>
      <x:c r="AN219" s="520"/>
      <x:c r="AO219" s="520"/>
      <x:c r="AP219" s="520"/>
      <x:c r="AQ219" s="520"/>
      <x:c r="AR219" s="520"/>
      <x:c r="AS219" s="520"/>
      <x:c r="AT219" s="520"/>
      <x:c r="AU219" s="520"/>
      <x:c r="AV219" s="520"/>
      <x:c r="AW219" s="520"/>
      <x:c r="AX219" s="520"/>
      <x:c r="AY219" s="520"/>
      <x:c r="AZ219" s="520"/>
      <x:c r="BA219" s="520"/>
      <x:c r="BB219" s="520"/>
      <x:c r="BC219" s="520"/>
      <x:c r="BD219" s="521"/>
    </x:row>
    <x:row r="220" ht="19" customHeight="1">
      <x:c r="B220" s="668" t="str">
        <x:f>IF('CADASTRO DE LOJAS'!E102="SIM",'CADASTRO DE LOJAS'!B102,"")</x:f>
      </x:c>
      <x:c r="C220" s="520"/>
      <x:c r="D220" s="520"/>
      <x:c r="E220" s="520"/>
      <x:c r="F220" s="520"/>
      <x:c r="G220" s="520"/>
      <x:c r="H220" s="520"/>
      <x:c r="I220" s="520"/>
      <x:c r="J220" s="520"/>
      <x:c r="K220" s="520"/>
      <x:c r="L220" s="520"/>
      <x:c r="M220" s="520"/>
      <x:c r="N220" s="520"/>
      <x:c r="O220" s="520"/>
      <x:c r="P220" s="520"/>
      <x:c r="Q220" s="520"/>
      <x:c r="R220" s="520"/>
      <x:c r="S220" s="520"/>
      <x:c r="T220" s="520"/>
      <x:c r="U220" s="520"/>
      <x:c r="V220" s="520"/>
      <x:c r="W220" s="520"/>
      <x:c r="X220" s="520"/>
      <x:c r="Y220" s="520"/>
      <x:c r="Z220" s="520"/>
      <x:c r="AA220" s="520"/>
      <x:c r="AB220" s="520"/>
      <x:c r="AC220" s="520"/>
      <x:c r="AD220" s="520"/>
      <x:c r="AE220" s="520"/>
      <x:c r="AF220" s="520"/>
      <x:c r="AG220" s="520"/>
      <x:c r="AH220" s="520"/>
      <x:c r="AI220" s="520"/>
      <x:c r="AJ220" s="520"/>
      <x:c r="AK220" s="520"/>
      <x:c r="AL220" s="520"/>
      <x:c r="AM220" s="520"/>
      <x:c r="AN220" s="520"/>
      <x:c r="AO220" s="520"/>
      <x:c r="AP220" s="520"/>
      <x:c r="AQ220" s="520"/>
      <x:c r="AR220" s="520"/>
      <x:c r="AS220" s="520"/>
      <x:c r="AT220" s="520"/>
      <x:c r="AU220" s="520"/>
      <x:c r="AV220" s="520"/>
      <x:c r="AW220" s="520"/>
      <x:c r="AX220" s="520"/>
      <x:c r="AY220" s="520"/>
      <x:c r="AZ220" s="520"/>
      <x:c r="BA220" s="520"/>
      <x:c r="BB220" s="520"/>
      <x:c r="BC220" s="520"/>
      <x:c r="BD220" s="521"/>
    </x:row>
    <x:row r="221" ht="19" customHeight="1">
      <x:c r="B221" s="668" t="str">
        <x:f>IF('CADASTRO DE LOJAS'!E103="SIM",'CADASTRO DE LOJAS'!B103,"")</x:f>
      </x:c>
      <x:c r="C221" s="520"/>
      <x:c r="D221" s="520"/>
      <x:c r="E221" s="520"/>
      <x:c r="F221" s="520"/>
      <x:c r="G221" s="520"/>
      <x:c r="H221" s="520"/>
      <x:c r="I221" s="520"/>
      <x:c r="J221" s="520"/>
      <x:c r="K221" s="520"/>
      <x:c r="L221" s="520"/>
      <x:c r="M221" s="520"/>
      <x:c r="N221" s="520"/>
      <x:c r="O221" s="520"/>
      <x:c r="P221" s="520"/>
      <x:c r="Q221" s="520"/>
      <x:c r="R221" s="520"/>
      <x:c r="S221" s="520"/>
      <x:c r="T221" s="520"/>
      <x:c r="U221" s="520"/>
      <x:c r="V221" s="520"/>
      <x:c r="W221" s="520"/>
      <x:c r="X221" s="520"/>
      <x:c r="Y221" s="520"/>
      <x:c r="Z221" s="520"/>
      <x:c r="AA221" s="520"/>
      <x:c r="AB221" s="520"/>
      <x:c r="AC221" s="520"/>
      <x:c r="AD221" s="520"/>
      <x:c r="AE221" s="520"/>
      <x:c r="AF221" s="520"/>
      <x:c r="AG221" s="520"/>
      <x:c r="AH221" s="520"/>
      <x:c r="AI221" s="520"/>
      <x:c r="AJ221" s="520"/>
      <x:c r="AK221" s="520"/>
      <x:c r="AL221" s="520"/>
      <x:c r="AM221" s="520"/>
      <x:c r="AN221" s="520"/>
      <x:c r="AO221" s="520"/>
      <x:c r="AP221" s="520"/>
      <x:c r="AQ221" s="520"/>
      <x:c r="AR221" s="520"/>
      <x:c r="AS221" s="520"/>
      <x:c r="AT221" s="520"/>
      <x:c r="AU221" s="520"/>
      <x:c r="AV221" s="520"/>
      <x:c r="AW221" s="520"/>
      <x:c r="AX221" s="520"/>
      <x:c r="AY221" s="520"/>
      <x:c r="AZ221" s="520"/>
      <x:c r="BA221" s="520"/>
      <x:c r="BB221" s="520"/>
      <x:c r="BC221" s="520"/>
      <x:c r="BD221" s="521"/>
    </x:row>
    <x:row r="222" ht="19" customHeight="1">
      <x:c r="B222" s="669" t="str">
        <x:f>IF('CADASTRO DE LOJAS'!E104="SIM",'CADASTRO DE LOJAS'!B104,"")</x:f>
      </x:c>
      <x:c r="C222" s="522"/>
      <x:c r="D222" s="522"/>
      <x:c r="E222" s="522"/>
      <x:c r="F222" s="522"/>
      <x:c r="G222" s="522"/>
      <x:c r="H222" s="522"/>
      <x:c r="I222" s="522"/>
      <x:c r="J222" s="522"/>
      <x:c r="K222" s="522"/>
      <x:c r="L222" s="522"/>
      <x:c r="M222" s="522"/>
      <x:c r="N222" s="522"/>
      <x:c r="O222" s="522"/>
      <x:c r="P222" s="522"/>
      <x:c r="Q222" s="522"/>
      <x:c r="R222" s="522"/>
      <x:c r="S222" s="522"/>
      <x:c r="T222" s="522"/>
      <x:c r="U222" s="522"/>
      <x:c r="V222" s="522"/>
      <x:c r="W222" s="522"/>
      <x:c r="X222" s="522"/>
      <x:c r="Y222" s="522"/>
      <x:c r="Z222" s="522"/>
      <x:c r="AA222" s="522"/>
      <x:c r="AB222" s="522"/>
      <x:c r="AC222" s="522"/>
      <x:c r="AD222" s="522"/>
      <x:c r="AE222" s="522"/>
      <x:c r="AF222" s="522"/>
      <x:c r="AG222" s="522"/>
      <x:c r="AH222" s="522"/>
      <x:c r="AI222" s="522"/>
      <x:c r="AJ222" s="522"/>
      <x:c r="AK222" s="522"/>
      <x:c r="AL222" s="522"/>
      <x:c r="AM222" s="522"/>
      <x:c r="AN222" s="522"/>
      <x:c r="AO222" s="522"/>
      <x:c r="AP222" s="522"/>
      <x:c r="AQ222" s="522"/>
      <x:c r="AR222" s="522"/>
      <x:c r="AS222" s="522"/>
      <x:c r="AT222" s="522"/>
      <x:c r="AU222" s="522"/>
      <x:c r="AV222" s="522"/>
      <x:c r="AW222" s="522"/>
      <x:c r="AX222" s="522"/>
      <x:c r="AY222" s="522"/>
      <x:c r="AZ222" s="522"/>
      <x:c r="BA222" s="522"/>
      <x:c r="BB222" s="522"/>
      <x:c r="BC222" s="522"/>
      <x:c r="BD222" s="523"/>
    </x:row>
    <x:row r="223">
      <x:c r="B223" s="595" t="str">
        <x:v>TOTAL EXPANSÃO</x:v>
      </x:c>
      <x:c r="C223" s="644" t="n">
        <x:f>SUM(C183:C222)</x:f>
        <x:v>0</x:v>
      </x:c>
      <x:c r="D223" s="644" t="n">
        <x:f>SUM(D183:D222)</x:f>
        <x:v>0</x:v>
      </x:c>
      <x:c r="E223" s="644" t="n">
        <x:f>SUM(E183:E222)</x:f>
        <x:v>0</x:v>
      </x:c>
      <x:c r="F223" s="644" t="n">
        <x:f>SUM(F183:F222)</x:f>
        <x:v>0</x:v>
      </x:c>
      <x:c r="G223" s="644" t="n">
        <x:f>SUM(G183:G222)</x:f>
        <x:v>0</x:v>
      </x:c>
      <x:c r="H223" s="644" t="n">
        <x:f>SUM(H183:H222)</x:f>
        <x:v>0</x:v>
      </x:c>
      <x:c r="I223" s="644" t="n">
        <x:f>SUM(I183:I222)</x:f>
        <x:v>0</x:v>
      </x:c>
      <x:c r="J223" s="644" t="n">
        <x:f>SUM(J183:J222)</x:f>
        <x:v>0</x:v>
      </x:c>
      <x:c r="K223" s="644" t="n">
        <x:f>SUM(K183:K222)</x:f>
        <x:v>0</x:v>
      </x:c>
      <x:c r="L223" s="644" t="n">
        <x:f>SUM(L183:L222)</x:f>
        <x:v>0</x:v>
      </x:c>
      <x:c r="M223" s="644" t="n">
        <x:f>SUM(M183:M222)</x:f>
        <x:v>0</x:v>
      </x:c>
      <x:c r="N223" s="644" t="n">
        <x:f>SUM(N183:N222)</x:f>
        <x:v>0</x:v>
      </x:c>
      <x:c r="O223" s="644" t="n">
        <x:f>SUM(O183:O222)</x:f>
        <x:v>0</x:v>
      </x:c>
      <x:c r="P223" s="644" t="n">
        <x:f>SUM(P183:P222)</x:f>
        <x:v>0</x:v>
      </x:c>
      <x:c r="Q223" s="644" t="n">
        <x:f>SUM(Q183:Q222)</x:f>
        <x:v>0</x:v>
      </x:c>
      <x:c r="R223" s="644" t="n">
        <x:f>SUM(R183:R222)</x:f>
        <x:v>0</x:v>
      </x:c>
      <x:c r="S223" s="644" t="n">
        <x:f>SUM(S183:S222)</x:f>
        <x:v>0</x:v>
      </x:c>
      <x:c r="T223" s="644" t="n">
        <x:f>SUM(T183:T222)</x:f>
        <x:v>0</x:v>
      </x:c>
      <x:c r="U223" s="644" t="n">
        <x:f>SUM(U183:U222)</x:f>
        <x:v>0</x:v>
      </x:c>
      <x:c r="V223" s="644" t="n">
        <x:f>SUM(V183:V222)</x:f>
        <x:v>0</x:v>
      </x:c>
      <x:c r="W223" s="644" t="n">
        <x:f>SUM(W183:W222)</x:f>
        <x:v>0</x:v>
      </x:c>
      <x:c r="X223" s="644" t="n">
        <x:f>SUM(X183:X222)</x:f>
        <x:v>0</x:v>
      </x:c>
      <x:c r="Y223" s="644" t="n">
        <x:f>SUM(Y183:Y222)</x:f>
        <x:v>0</x:v>
      </x:c>
      <x:c r="Z223" s="644" t="n">
        <x:f>SUM(Z183:Z222)</x:f>
        <x:v>0</x:v>
      </x:c>
      <x:c r="AA223" s="644" t="n">
        <x:f>SUM(AA183:AA222)</x:f>
        <x:v>0</x:v>
      </x:c>
      <x:c r="AB223" s="644" t="n">
        <x:f>SUM(AB183:AB222)</x:f>
        <x:v>0</x:v>
      </x:c>
      <x:c r="AC223" s="644" t="n">
        <x:f>SUM(AC183:AC222)</x:f>
        <x:v>0</x:v>
      </x:c>
      <x:c r="AD223" s="644" t="n">
        <x:f>SUM(AD183:AD222)</x:f>
        <x:v>0</x:v>
      </x:c>
      <x:c r="AE223" s="644" t="n">
        <x:f>SUM(AE183:AE222)</x:f>
        <x:v>0</x:v>
      </x:c>
      <x:c r="AF223" s="644" t="n">
        <x:f>SUM(AF183:AF222)</x:f>
        <x:v>0</x:v>
      </x:c>
      <x:c r="AG223" s="644" t="n">
        <x:f>SUM(AG183:AG222)</x:f>
        <x:v>0</x:v>
      </x:c>
      <x:c r="AH223" s="644" t="n">
        <x:f>SUM(AH183:AH222)</x:f>
        <x:v>0</x:v>
      </x:c>
      <x:c r="AI223" s="644" t="n">
        <x:f>SUM(AI183:AI222)</x:f>
        <x:v>0</x:v>
      </x:c>
      <x:c r="AJ223" s="644" t="n">
        <x:f>SUM(AJ183:AJ222)</x:f>
        <x:v>0</x:v>
      </x:c>
      <x:c r="AK223" s="644" t="n">
        <x:f>SUM(AK183:AK222)</x:f>
        <x:v>0</x:v>
      </x:c>
      <x:c r="AL223" s="644" t="n">
        <x:f>SUM(AL183:AL222)</x:f>
        <x:v>0</x:v>
      </x:c>
      <x:c r="AM223" s="644" t="n">
        <x:f>SUM(AM183:AM222)</x:f>
        <x:v>0</x:v>
      </x:c>
      <x:c r="AN223" s="644" t="n">
        <x:f>SUM(AN183:AN222)</x:f>
        <x:v>0</x:v>
      </x:c>
      <x:c r="AO223" s="644" t="n">
        <x:f>SUM(AO183:AO222)</x:f>
        <x:v>0</x:v>
      </x:c>
      <x:c r="AP223" s="644" t="n">
        <x:f>SUM(AP183:AP222)</x:f>
        <x:v>0</x:v>
      </x:c>
      <x:c r="AQ223" s="644" t="n">
        <x:f>SUM(AQ183:AQ222)</x:f>
        <x:v>0</x:v>
      </x:c>
      <x:c r="AR223" s="644" t="n">
        <x:f>SUM(AR183:AR222)</x:f>
        <x:v>0</x:v>
      </x:c>
      <x:c r="AS223" s="644" t="n">
        <x:f>SUM(AS183:AS222)</x:f>
        <x:v>0</x:v>
      </x:c>
      <x:c r="AT223" s="644" t="n">
        <x:f>SUM(AT183:AT222)</x:f>
        <x:v>0</x:v>
      </x:c>
      <x:c r="AU223" s="644" t="n">
        <x:f>SUM(AU183:AU222)</x:f>
        <x:v>0</x:v>
      </x:c>
      <x:c r="AV223" s="644" t="n">
        <x:f>SUM(AV183:AV222)</x:f>
        <x:v>0</x:v>
      </x:c>
      <x:c r="AW223" s="644" t="n">
        <x:f>SUM(AW183:AW222)</x:f>
        <x:v>0</x:v>
      </x:c>
      <x:c r="AX223" s="644" t="n">
        <x:f>SUM(AX183:AX222)</x:f>
        <x:v>0</x:v>
      </x:c>
      <x:c r="AY223" s="644" t="n">
        <x:f>SUM(AY183:AY222)</x:f>
        <x:v>0</x:v>
      </x:c>
      <x:c r="AZ223" s="644" t="n">
        <x:f>SUM(AZ183:AZ222)</x:f>
        <x:v>0</x:v>
      </x:c>
      <x:c r="BA223" s="644" t="n">
        <x:f>SUM(BA183:BA222)</x:f>
        <x:v>0</x:v>
      </x:c>
      <x:c r="BB223" s="644" t="n">
        <x:f>SUM(BB183:BB222)</x:f>
        <x:v>0</x:v>
      </x:c>
      <x:c r="BC223" s="644" t="n">
        <x:f>SUM(BC183:BC222)</x:f>
        <x:v>0</x:v>
      </x:c>
      <x:c r="BD223" s="644" t="n">
        <x:f>SUM(BD183:BD222)</x:f>
        <x:v>0</x:v>
      </x:c>
    </x:row>
  </x:sheetData>
  <x:conditionalFormatting sqref="B3:BD62">
    <x:cfRule type="expression" dxfId="32" priority="1">
      <x:formula>MOD(ROW(),2)=0</x:formula>
    </x:cfRule>
  </x:conditionalFormatting>
  <x:conditionalFormatting sqref="B66:BD125">
    <x:cfRule type="expression" dxfId="33" priority="2">
      <x:formula>MOD(ROW(),2)=0</x:formula>
    </x:cfRule>
  </x:conditionalFormatting>
  <x:conditionalFormatting sqref="B141:BD180">
    <x:cfRule type="expression" dxfId="34" priority="3">
      <x:formula>MOD(ROW(),2)=0</x:formula>
    </x:cfRule>
  </x:conditionalFormatting>
  <x:conditionalFormatting sqref="B183:BD222">
    <x:cfRule type="expression" dxfId="35" priority="4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4" tint="0.39998"/>
  </x:sheetPr>
  <x:sheetFormatPr defaultRowHeight="12.75"/>
  <x:cols>
    <x:col min="1" max="1" width="2" hidden="0" customWidth="1"/>
    <x:col min="9" max="9" width="11" hidden="0" customWidth="1"/>
    <x:col min="2" max="2" width="1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</x:cols>
  <x:sheetData>
    <x:row r="1">
      <x:c r="A1" s="95"/>
      <x:c r="B1" s="95"/>
      <x:c r="C1" s="95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  <x:c r="AA1" s="95"/>
      <x:c r="AB1" s="95"/>
      <x:c r="AC1" s="95"/>
      <x:c r="AD1" s="95"/>
      <x:c r="AE1" s="95"/>
      <x:c r="AF1" s="95"/>
      <x:c r="AG1" s="95"/>
      <x:c r="AH1" s="95"/>
      <x:c r="AI1" s="95"/>
      <x:c r="AJ1" s="95"/>
      <x:c r="AK1" s="95"/>
      <x:c r="AL1" s="95"/>
      <x:c r="AM1" s="95"/>
      <x:c r="AN1" s="95"/>
      <x:c r="AO1" s="95"/>
    </x:row>
    <x:row r="2" ht="24" customHeight="1">
      <x:c r="B2" s="461"/>
      <x:c r="C2" s="463">
        <x:v>45597</x:v>
      </x:c>
      <x:c r="D2" s="463">
        <x:v>45627</x:v>
      </x:c>
      <x:c r="E2" s="463">
        <x:v>45658</x:v>
      </x:c>
      <x:c r="F2" s="463">
        <x:v>45689</x:v>
      </x:c>
      <x:c r="G2" s="463">
        <x:v>45717</x:v>
      </x:c>
      <x:c r="H2" s="463">
        <x:v>45748</x:v>
      </x:c>
      <x:c r="I2" s="463">
        <x:v>45778</x:v>
      </x:c>
      <x:c r="J2" s="463">
        <x:v>45809</x:v>
      </x:c>
      <x:c r="K2" s="463">
        <x:v>45839</x:v>
      </x:c>
      <x:c r="L2" s="463">
        <x:v>45870</x:v>
      </x:c>
      <x:c r="M2" s="463">
        <x:v>45901</x:v>
      </x:c>
      <x:c r="N2" s="463">
        <x:v>45931</x:v>
      </x:c>
      <x:c r="O2" s="463">
        <x:v>45962</x:v>
      </x:c>
      <x:c r="P2" s="463">
        <x:v>45992</x:v>
      </x:c>
      <x:c r="Q2" s="463">
        <x:v>46023</x:v>
      </x:c>
      <x:c r="R2" s="463">
        <x:v>46054</x:v>
      </x:c>
      <x:c r="S2" s="463">
        <x:v>46082</x:v>
      </x:c>
      <x:c r="T2" s="463">
        <x:v>46113</x:v>
      </x:c>
      <x:c r="U2" s="463">
        <x:v>46143</x:v>
      </x:c>
      <x:c r="V2" s="463">
        <x:v>46174</x:v>
      </x:c>
      <x:c r="W2" s="463">
        <x:v>46204</x:v>
      </x:c>
      <x:c r="X2" s="463">
        <x:v>46235</x:v>
      </x:c>
      <x:c r="Y2" s="463">
        <x:v>46266</x:v>
      </x:c>
      <x:c r="Z2" s="463">
        <x:v>46296</x:v>
      </x:c>
      <x:c r="AA2" s="463">
        <x:v>46327</x:v>
      </x:c>
      <x:c r="AB2" s="463">
        <x:v>46357</x:v>
      </x:c>
      <x:c r="AC2" s="463">
        <x:v>46388</x:v>
      </x:c>
      <x:c r="AD2" s="463">
        <x:v>46419</x:v>
      </x:c>
      <x:c r="AE2" s="463">
        <x:v>46447</x:v>
      </x:c>
      <x:c r="AF2" s="463">
        <x:v>46478</x:v>
      </x:c>
      <x:c r="AG2" s="463">
        <x:v>46508</x:v>
      </x:c>
      <x:c r="AH2" s="463">
        <x:v>46539</x:v>
      </x:c>
      <x:c r="AI2" s="463">
        <x:v>46569</x:v>
      </x:c>
      <x:c r="AJ2" s="463">
        <x:v>46600</x:v>
      </x:c>
      <x:c r="AK2" s="463">
        <x:v>46631</x:v>
      </x:c>
      <x:c r="AL2" s="463">
        <x:v>46661</x:v>
      </x:c>
      <x:c r="AM2" s="463">
        <x:v>46692</x:v>
      </x:c>
      <x:c r="AN2" s="463">
        <x:v>46722</x:v>
      </x:c>
      <x:c r="AO2" s="463">
        <x:v>46753</x:v>
      </x:c>
    </x:row>
    <x:row r="3" ht="19" customHeight="1">
      <x:c r="B3" s="509">
        <x:v>1</x:v>
      </x:c>
      <x:c r="C3" s="512">
        <x:v>7598</x:v>
      </x:c>
      <x:c r="D3" s="513">
        <x:v>7315</x:v>
      </x:c>
      <x:c r="E3" s="513">
        <x:v>9933</x:v>
      </x:c>
      <x:c r="F3" s="513">
        <x:v>10789</x:v>
      </x:c>
      <x:c r="G3" s="512">
        <x:v>10088</x:v>
      </x:c>
      <x:c r="H3" s="512">
        <x:v>9140</x:v>
      </x:c>
      <x:c r="I3" s="512">
        <x:v>10574</x:v>
      </x:c>
      <x:c r="J3" s="512">
        <x:v>5936</x:v>
      </x:c>
      <x:c r="K3" s="512">
        <x:v>9411</x:v>
      </x:c>
      <x:c r="L3" s="512">
        <x:v>13081</x:v>
      </x:c>
      <x:c r="M3" s="512">
        <x:v>14911</x:v>
      </x:c>
      <x:c r="N3" s="512">
        <x:v>11209</x:v>
      </x:c>
      <x:c r="O3" s="512">
        <x:v>8229</x:v>
      </x:c>
      <x:c r="P3" s="512">
        <x:v>8656</x:v>
      </x:c>
      <x:c r="Q3" s="512">
        <x:v>9928</x:v>
      </x:c>
      <x:c r="R3" s="512">
        <x:v>9046</x:v>
      </x:c>
      <x:c r="S3" s="512">
        <x:v>9732</x:v>
      </x:c>
      <x:c r="T3" s="512">
        <x:v>10438</x:v>
      </x:c>
      <x:c r="U3" s="512">
        <x:v>10358</x:v>
      </x:c>
      <x:c r="V3" s="512">
        <x:v>11180</x:v>
      </x:c>
      <x:c r="W3" s="512">
        <x:v>12339</x:v>
      </x:c>
      <x:c r="X3" s="512">
        <x:v>12289</x:v>
      </x:c>
      <x:c r="Y3" s="512">
        <x:v>4851</x:v>
      </x:c>
      <x:c r="Z3" s="512"/>
      <x:c r="AA3" s="512"/>
      <x:c r="AB3" s="512"/>
      <x:c r="AC3" s="512"/>
      <x:c r="AD3" s="512"/>
      <x:c r="AE3" s="512"/>
      <x:c r="AF3" s="512"/>
      <x:c r="AG3" s="512"/>
      <x:c r="AH3" s="512"/>
      <x:c r="AI3" s="512"/>
      <x:c r="AJ3" s="512"/>
      <x:c r="AK3" s="512"/>
      <x:c r="AL3" s="512"/>
      <x:c r="AM3" s="512"/>
      <x:c r="AN3" s="512"/>
      <x:c r="AO3" s="514"/>
    </x:row>
    <x:row r="4" ht="19" customHeight="1">
      <x:c r="B4" s="509">
        <x:v>2</x:v>
      </x:c>
      <x:c r="C4" s="512">
        <x:v>5696</x:v>
      </x:c>
      <x:c r="D4" s="513">
        <x:v>5656</x:v>
      </x:c>
      <x:c r="E4" s="513">
        <x:v>8386</x:v>
      </x:c>
      <x:c r="F4" s="513">
        <x:v>8099</x:v>
      </x:c>
      <x:c r="G4" s="512">
        <x:v>6202</x:v>
      </x:c>
      <x:c r="H4" s="512">
        <x:v>6532</x:v>
      </x:c>
      <x:c r="I4" s="512">
        <x:v>6077</x:v>
      </x:c>
      <x:c r="J4" s="512">
        <x:v>5100</x:v>
      </x:c>
      <x:c r="K4" s="512">
        <x:v>11063</x:v>
      </x:c>
      <x:c r="L4" s="512">
        <x:v>5005</x:v>
      </x:c>
      <x:c r="M4" s="512">
        <x:v>6468</x:v>
      </x:c>
      <x:c r="N4" s="512">
        <x:v>6072</x:v>
      </x:c>
      <x:c r="O4" s="512">
        <x:v>6258</x:v>
      </x:c>
      <x:c r="P4" s="512">
        <x:v>7004</x:v>
      </x:c>
      <x:c r="Q4" s="512">
        <x:v>7035</x:v>
      </x:c>
      <x:c r="R4" s="512">
        <x:v>3998</x:v>
      </x:c>
      <x:c r="S4" s="512">
        <x:v>4167</x:v>
      </x:c>
      <x:c r="T4" s="512">
        <x:v>6247</x:v>
      </x:c>
      <x:c r="U4" s="512">
        <x:v>6161</x:v>
      </x:c>
      <x:c r="V4" s="512">
        <x:v>5542</x:v>
      </x:c>
      <x:c r="W4" s="512">
        <x:v>6663</x:v>
      </x:c>
      <x:c r="X4" s="512">
        <x:v>6610</x:v>
      </x:c>
      <x:c r="Y4" s="512">
        <x:v>11184</x:v>
      </x:c>
      <x:c r="Z4" s="512"/>
      <x:c r="AA4" s="512"/>
      <x:c r="AB4" s="512"/>
      <x:c r="AC4" s="512"/>
      <x:c r="AD4" s="512"/>
      <x:c r="AE4" s="512"/>
      <x:c r="AF4" s="512"/>
      <x:c r="AG4" s="512"/>
      <x:c r="AH4" s="512"/>
      <x:c r="AI4" s="512"/>
      <x:c r="AJ4" s="512"/>
      <x:c r="AK4" s="512"/>
      <x:c r="AL4" s="512"/>
      <x:c r="AM4" s="512"/>
      <x:c r="AN4" s="512"/>
      <x:c r="AO4" s="514"/>
    </x:row>
    <x:row r="5" ht="19" customHeight="1">
      <x:c r="B5" s="509">
        <x:v>3</x:v>
      </x:c>
      <x:c r="C5" s="512">
        <x:v>6422</x:v>
      </x:c>
      <x:c r="D5" s="513">
        <x:v>4934</x:v>
      </x:c>
      <x:c r="E5" s="513">
        <x:v>5548</x:v>
      </x:c>
      <x:c r="F5" s="515">
        <x:v>4760</x:v>
      </x:c>
      <x:c r="G5" s="512">
        <x:v>6072</x:v>
      </x:c>
      <x:c r="H5" s="512">
        <x:v>7686</x:v>
      </x:c>
      <x:c r="I5" s="512">
        <x:v>7606</x:v>
      </x:c>
      <x:c r="J5" s="512">
        <x:v>8703</x:v>
      </x:c>
      <x:c r="K5" s="512">
        <x:v>10758</x:v>
      </x:c>
      <x:c r="L5" s="512">
        <x:v>8749</x:v>
      </x:c>
      <x:c r="M5" s="512">
        <x:v>10714</x:v>
      </x:c>
      <x:c r="N5" s="512">
        <x:v>9699</x:v>
      </x:c>
      <x:c r="O5" s="512">
        <x:v>6031</x:v>
      </x:c>
      <x:c r="P5" s="512">
        <x:v>7210</x:v>
      </x:c>
      <x:c r="Q5" s="512">
        <x:v>6971</x:v>
      </x:c>
      <x:c r="R5" s="512">
        <x:v>7859</x:v>
      </x:c>
      <x:c r="S5" s="512">
        <x:v>8644</x:v>
      </x:c>
      <x:c r="T5" s="512">
        <x:v>7767</x:v>
      </x:c>
      <x:c r="U5" s="512">
        <x:v>6495</x:v>
      </x:c>
      <x:c r="V5" s="512">
        <x:v>6163</x:v>
      </x:c>
      <x:c r="W5" s="512">
        <x:v>6280</x:v>
      </x:c>
      <x:c r="X5" s="512">
        <x:v>6194</x:v>
      </x:c>
      <x:c r="Y5" s="512">
        <x:v>3125</x:v>
      </x:c>
      <x:c r="Z5" s="512"/>
      <x:c r="AA5" s="512"/>
      <x:c r="AB5" s="512"/>
      <x:c r="AC5" s="512"/>
      <x:c r="AD5" s="512"/>
      <x:c r="AE5" s="512"/>
      <x:c r="AF5" s="512"/>
      <x:c r="AG5" s="512"/>
      <x:c r="AH5" s="512"/>
      <x:c r="AI5" s="512"/>
      <x:c r="AJ5" s="512"/>
      <x:c r="AK5" s="512"/>
      <x:c r="AL5" s="512"/>
      <x:c r="AM5" s="512"/>
      <x:c r="AN5" s="512"/>
      <x:c r="AO5" s="514"/>
    </x:row>
    <x:row r="6" ht="19" customHeight="1">
      <x:c r="B6" s="509">
        <x:v>5</x:v>
      </x:c>
      <x:c r="C6" s="512">
        <x:v>6338</x:v>
      </x:c>
      <x:c r="D6" s="513">
        <x:v>8577</x:v>
      </x:c>
      <x:c r="E6" s="513">
        <x:v>7727</x:v>
      </x:c>
      <x:c r="F6" s="513">
        <x:v>6592</x:v>
      </x:c>
      <x:c r="G6" s="512">
        <x:v>6199</x:v>
      </x:c>
      <x:c r="H6" s="512">
        <x:v>9422</x:v>
      </x:c>
      <x:c r="I6" s="512">
        <x:v>9558</x:v>
      </x:c>
      <x:c r="J6" s="512">
        <x:v>8855</x:v>
      </x:c>
      <x:c r="K6" s="512">
        <x:v>8913</x:v>
      </x:c>
      <x:c r="L6" s="512">
        <x:v>10401</x:v>
      </x:c>
      <x:c r="M6" s="512">
        <x:v>11018</x:v>
      </x:c>
      <x:c r="N6" s="512">
        <x:v>5933</x:v>
      </x:c>
      <x:c r="O6" s="512">
        <x:v>9942</x:v>
      </x:c>
      <x:c r="P6" s="512">
        <x:v>9527</x:v>
      </x:c>
      <x:c r="Q6" s="512">
        <x:v>7942</x:v>
      </x:c>
      <x:c r="R6" s="512">
        <x:v>6151</x:v>
      </x:c>
      <x:c r="S6" s="512">
        <x:v>6173</x:v>
      </x:c>
      <x:c r="T6" s="512">
        <x:v>9447</x:v>
      </x:c>
      <x:c r="U6" s="512">
        <x:v>6067</x:v>
      </x:c>
      <x:c r="V6" s="512">
        <x:v>6080</x:v>
      </x:c>
      <x:c r="W6" s="512">
        <x:v>6026</x:v>
      </x:c>
      <x:c r="X6" s="512">
        <x:v>6058</x:v>
      </x:c>
      <x:c r="Y6" s="512">
        <x:v>2507</x:v>
      </x:c>
      <x:c r="Z6" s="512"/>
      <x:c r="AA6" s="512"/>
      <x:c r="AB6" s="512"/>
      <x:c r="AC6" s="512"/>
      <x:c r="AD6" s="512"/>
      <x:c r="AE6" s="512"/>
      <x:c r="AF6" s="512"/>
      <x:c r="AG6" s="512"/>
      <x:c r="AH6" s="512"/>
      <x:c r="AI6" s="512"/>
      <x:c r="AJ6" s="512"/>
      <x:c r="AK6" s="512"/>
      <x:c r="AL6" s="512"/>
      <x:c r="AM6" s="512"/>
      <x:c r="AN6" s="512"/>
      <x:c r="AO6" s="514"/>
    </x:row>
    <x:row r="7" ht="19" customHeight="1">
      <x:c r="B7" s="509">
        <x:v>6</x:v>
      </x:c>
      <x:c r="C7" s="512">
        <x:v>9326</x:v>
      </x:c>
      <x:c r="D7" s="515">
        <x:v>2908</x:v>
      </x:c>
      <x:c r="E7" s="513">
        <x:v>6294</x:v>
      </x:c>
      <x:c r="F7" s="513">
        <x:v>5336</x:v>
      </x:c>
      <x:c r="G7" s="512">
        <x:v>8001</x:v>
      </x:c>
      <x:c r="H7" s="512">
        <x:v>7970</x:v>
      </x:c>
      <x:c r="I7" s="512">
        <x:v>5153</x:v>
      </x:c>
      <x:c r="J7" s="512">
        <x:v>10143</x:v>
      </x:c>
      <x:c r="K7" s="512">
        <x:v>5366</x:v>
      </x:c>
      <x:c r="L7" s="512">
        <x:v>3577</x:v>
      </x:c>
      <x:c r="M7" s="512">
        <x:v>6223</x:v>
      </x:c>
      <x:c r="N7" s="512">
        <x:v>4872</x:v>
      </x:c>
      <x:c r="O7" s="512">
        <x:v>7309</x:v>
      </x:c>
      <x:c r="P7" s="512">
        <x:v>3791</x:v>
      </x:c>
      <x:c r="Q7" s="512">
        <x:v>1553</x:v>
      </x:c>
      <x:c r="R7" s="512">
        <x:v>4381</x:v>
      </x:c>
      <x:c r="S7" s="512">
        <x:v>7231</x:v>
      </x:c>
      <x:c r="T7" s="512">
        <x:v>7943</x:v>
      </x:c>
      <x:c r="U7" s="512">
        <x:v>4387</x:v>
      </x:c>
      <x:c r="V7" s="512">
        <x:v>13660</x:v>
      </x:c>
      <x:c r="W7" s="512">
        <x:v>6934</x:v>
      </x:c>
      <x:c r="X7" s="512">
        <x:v>6009</x:v>
      </x:c>
      <x:c r="Y7" s="512">
        <x:v>4149</x:v>
      </x:c>
      <x:c r="Z7" s="512"/>
      <x:c r="AA7" s="512"/>
      <x:c r="AB7" s="512"/>
      <x:c r="AC7" s="512"/>
      <x:c r="AD7" s="512"/>
      <x:c r="AE7" s="512"/>
      <x:c r="AF7" s="512"/>
      <x:c r="AG7" s="512"/>
      <x:c r="AH7" s="512"/>
      <x:c r="AI7" s="512"/>
      <x:c r="AJ7" s="512"/>
      <x:c r="AK7" s="512"/>
      <x:c r="AL7" s="512"/>
      <x:c r="AM7" s="512"/>
      <x:c r="AN7" s="512"/>
      <x:c r="AO7" s="514"/>
    </x:row>
    <x:row r="8" ht="19" customHeight="1">
      <x:c r="B8" s="509">
        <x:v>7</x:v>
      </x:c>
      <x:c r="C8" s="516">
        <x:v>4255</x:v>
      </x:c>
      <x:c r="D8" s="515">
        <x:v>4472</x:v>
      </x:c>
      <x:c r="E8" s="513">
        <x:v>6919</x:v>
      </x:c>
      <x:c r="F8" s="513">
        <x:v>5914</x:v>
      </x:c>
      <x:c r="G8" s="512">
        <x:v>10016</x:v>
      </x:c>
      <x:c r="H8" s="512">
        <x:v>15165</x:v>
      </x:c>
      <x:c r="I8" s="512">
        <x:v>15204</x:v>
      </x:c>
      <x:c r="J8" s="512">
        <x:v>12899</x:v>
      </x:c>
      <x:c r="K8" s="512">
        <x:v>14884</x:v>
      </x:c>
      <x:c r="L8" s="512">
        <x:v>13632</x:v>
      </x:c>
      <x:c r="M8" s="512">
        <x:v>14196</x:v>
      </x:c>
      <x:c r="N8" s="512">
        <x:v>14026</x:v>
      </x:c>
      <x:c r="O8" s="512">
        <x:v>12857</x:v>
      </x:c>
      <x:c r="P8" s="512">
        <x:v>14699</x:v>
      </x:c>
      <x:c r="Q8" s="512">
        <x:v>13802</x:v>
      </x:c>
      <x:c r="R8" s="512">
        <x:v>13368</x:v>
      </x:c>
      <x:c r="S8" s="512">
        <x:v>13182</x:v>
      </x:c>
      <x:c r="T8" s="512">
        <x:v>13998</x:v>
      </x:c>
      <x:c r="U8" s="512">
        <x:v>13550</x:v>
      </x:c>
      <x:c r="V8" s="512">
        <x:v>13201</x:v>
      </x:c>
      <x:c r="W8" s="512">
        <x:v>14246</x:v>
      </x:c>
      <x:c r="X8" s="512">
        <x:v>12061</x:v>
      </x:c>
      <x:c r="Y8" s="512">
        <x:v>8608</x:v>
      </x:c>
      <x:c r="Z8" s="512"/>
      <x:c r="AA8" s="512"/>
      <x:c r="AB8" s="512"/>
      <x:c r="AC8" s="512"/>
      <x:c r="AD8" s="512"/>
      <x:c r="AE8" s="512"/>
      <x:c r="AF8" s="512"/>
      <x:c r="AG8" s="512"/>
      <x:c r="AH8" s="512"/>
      <x:c r="AI8" s="512"/>
      <x:c r="AJ8" s="512"/>
      <x:c r="AK8" s="512"/>
      <x:c r="AL8" s="512"/>
      <x:c r="AM8" s="512"/>
      <x:c r="AN8" s="512"/>
      <x:c r="AO8" s="514"/>
    </x:row>
    <x:row r="9" ht="19" customHeight="1">
      <x:c r="B9" s="509">
        <x:v>8</x:v>
      </x:c>
      <x:c r="C9" s="512">
        <x:v>6325</x:v>
      </x:c>
      <x:c r="D9" s="513">
        <x:v>5929</x:v>
      </x:c>
      <x:c r="E9" s="513">
        <x:v>9495</x:v>
      </x:c>
      <x:c r="F9" s="513">
        <x:v>10076</x:v>
      </x:c>
      <x:c r="G9" s="512">
        <x:v>8271</x:v>
      </x:c>
      <x:c r="H9" s="512">
        <x:v>7546</x:v>
      </x:c>
      <x:c r="I9" s="512">
        <x:v>7851</x:v>
      </x:c>
      <x:c r="J9" s="512">
        <x:v>4130</x:v>
      </x:c>
      <x:c r="K9" s="512">
        <x:v>4462</x:v>
      </x:c>
      <x:c r="L9" s="512">
        <x:v>3600</x:v>
      </x:c>
      <x:c r="M9" s="512">
        <x:v>9193</x:v>
      </x:c>
      <x:c r="N9" s="512">
        <x:v>14035</x:v>
      </x:c>
      <x:c r="O9" s="512">
        <x:v>11670</x:v>
      </x:c>
      <x:c r="P9" s="512">
        <x:v>8471</x:v>
      </x:c>
      <x:c r="Q9" s="512">
        <x:v>11028</x:v>
      </x:c>
      <x:c r="R9" s="512">
        <x:v>12139</x:v>
      </x:c>
      <x:c r="S9" s="512">
        <x:v>11492</x:v>
      </x:c>
      <x:c r="T9" s="512">
        <x:v>8407</x:v>
      </x:c>
      <x:c r="U9" s="512">
        <x:v>10651</x:v>
      </x:c>
      <x:c r="V9" s="512">
        <x:v>6109</x:v>
      </x:c>
      <x:c r="W9" s="512">
        <x:v>12647</x:v>
      </x:c>
      <x:c r="X9" s="512">
        <x:v>12987</x:v>
      </x:c>
      <x:c r="Y9" s="512">
        <x:v>8824</x:v>
      </x:c>
      <x:c r="Z9" s="512"/>
      <x:c r="AA9" s="512"/>
      <x:c r="AB9" s="512"/>
      <x:c r="AC9" s="512"/>
      <x:c r="AD9" s="512"/>
      <x:c r="AE9" s="512"/>
      <x:c r="AF9" s="512"/>
      <x:c r="AG9" s="512"/>
      <x:c r="AH9" s="512"/>
      <x:c r="AI9" s="512"/>
      <x:c r="AJ9" s="512"/>
      <x:c r="AK9" s="512"/>
      <x:c r="AL9" s="512"/>
      <x:c r="AM9" s="512"/>
      <x:c r="AN9" s="512"/>
      <x:c r="AO9" s="514"/>
    </x:row>
    <x:row r="10" ht="19" customHeight="1">
      <x:c r="B10" s="509">
        <x:v>9</x:v>
      </x:c>
      <x:c r="C10" s="516">
        <x:v>2363</x:v>
      </x:c>
      <x:c r="D10" s="513">
        <x:v>4813</x:v>
      </x:c>
      <x:c r="E10" s="513">
        <x:v>6427</x:v>
      </x:c>
      <x:c r="F10" s="515">
        <x:v>4149</x:v>
      </x:c>
      <x:c r="G10" s="512">
        <x:v>6723</x:v>
      </x:c>
      <x:c r="H10" s="512">
        <x:v>9744</x:v>
      </x:c>
      <x:c r="I10" s="512">
        <x:v>6128</x:v>
      </x:c>
      <x:c r="J10" s="512">
        <x:v>11924</x:v>
      </x:c>
      <x:c r="K10" s="512">
        <x:v>7320</x:v>
      </x:c>
      <x:c r="L10" s="512">
        <x:v>6448</x:v>
      </x:c>
      <x:c r="M10" s="512">
        <x:v>6619</x:v>
      </x:c>
      <x:c r="N10" s="512">
        <x:v>6107</x:v>
      </x:c>
      <x:c r="O10" s="512">
        <x:v>6247</x:v>
      </x:c>
      <x:c r="P10" s="512">
        <x:v>6101</x:v>
      </x:c>
      <x:c r="Q10" s="512">
        <x:v>7325</x:v>
      </x:c>
      <x:c r="R10" s="512">
        <x:v>6918</x:v>
      </x:c>
      <x:c r="S10" s="512">
        <x:v>6639</x:v>
      </x:c>
      <x:c r="T10" s="512">
        <x:v>6012</x:v>
      </x:c>
      <x:c r="U10" s="512">
        <x:v>6315</x:v>
      </x:c>
      <x:c r="V10" s="512">
        <x:v>6263</x:v>
      </x:c>
      <x:c r="W10" s="512">
        <x:v>6023</x:v>
      </x:c>
      <x:c r="X10" s="512">
        <x:v>6132</x:v>
      </x:c>
      <x:c r="Y10" s="512">
        <x:v>5984</x:v>
      </x:c>
      <x:c r="Z10" s="512"/>
      <x:c r="AA10" s="512"/>
      <x:c r="AB10" s="512"/>
      <x:c r="AC10" s="512"/>
      <x:c r="AD10" s="512"/>
      <x:c r="AE10" s="512"/>
      <x:c r="AF10" s="512"/>
      <x:c r="AG10" s="512"/>
      <x:c r="AH10" s="512"/>
      <x:c r="AI10" s="512"/>
      <x:c r="AJ10" s="512"/>
      <x:c r="AK10" s="512"/>
      <x:c r="AL10" s="512"/>
      <x:c r="AM10" s="512"/>
      <x:c r="AN10" s="512"/>
      <x:c r="AO10" s="514"/>
    </x:row>
    <x:row r="11" ht="19" customHeight="1">
      <x:c r="B11" s="509">
        <x:v>10</x:v>
      </x:c>
      <x:c r="C11" s="512">
        <x:v>5817</x:v>
      </x:c>
      <x:c r="D11" s="513">
        <x:v>5616</x:v>
      </x:c>
      <x:c r="E11" s="513">
        <x:v>19793</x:v>
      </x:c>
      <x:c r="F11" s="513">
        <x:v>18752</x:v>
      </x:c>
      <x:c r="G11" s="512">
        <x:v>15638</x:v>
      </x:c>
      <x:c r="H11" s="512">
        <x:v>10839</x:v>
      </x:c>
      <x:c r="I11" s="512">
        <x:v>8765</x:v>
      </x:c>
      <x:c r="J11" s="512">
        <x:v>7404</x:v>
      </x:c>
      <x:c r="K11" s="512">
        <x:v>7992</x:v>
      </x:c>
      <x:c r="L11" s="512">
        <x:v>6658</x:v>
      </x:c>
      <x:c r="M11" s="512">
        <x:v>6475</x:v>
      </x:c>
      <x:c r="N11" s="512">
        <x:v>8352</x:v>
      </x:c>
      <x:c r="O11" s="512">
        <x:v>6494</x:v>
      </x:c>
      <x:c r="P11" s="512">
        <x:v>6198</x:v>
      </x:c>
      <x:c r="Q11" s="512">
        <x:v>3820</x:v>
      </x:c>
      <x:c r="R11" s="512">
        <x:v>6127</x:v>
      </x:c>
      <x:c r="S11" s="512">
        <x:v>6049</x:v>
      </x:c>
      <x:c r="T11" s="512">
        <x:v>6415</x:v>
      </x:c>
      <x:c r="U11" s="512">
        <x:v>6323</x:v>
      </x:c>
      <x:c r="V11" s="512">
        <x:v>15978</x:v>
      </x:c>
      <x:c r="W11" s="512">
        <x:v>6840</x:v>
      </x:c>
      <x:c r="X11" s="512">
        <x:v>6044</x:v>
      </x:c>
      <x:c r="Y11" s="512">
        <x:v>4600</x:v>
      </x:c>
      <x:c r="Z11" s="512"/>
      <x:c r="AA11" s="512"/>
      <x:c r="AB11" s="512"/>
      <x:c r="AC11" s="512"/>
      <x:c r="AD11" s="512"/>
      <x:c r="AE11" s="512"/>
      <x:c r="AF11" s="512"/>
      <x:c r="AG11" s="512"/>
      <x:c r="AH11" s="512"/>
      <x:c r="AI11" s="512"/>
      <x:c r="AJ11" s="512"/>
      <x:c r="AK11" s="512"/>
      <x:c r="AL11" s="512"/>
      <x:c r="AM11" s="512"/>
      <x:c r="AN11" s="512"/>
      <x:c r="AO11" s="514"/>
    </x:row>
    <x:row r="12" ht="19" customHeight="1">
      <x:c r="B12" s="509">
        <x:v>11</x:v>
      </x:c>
      <x:c r="C12" s="512">
        <x:v>5755</x:v>
      </x:c>
      <x:c r="D12" s="513">
        <x:v>10628</x:v>
      </x:c>
      <x:c r="E12" s="513">
        <x:v>16534</x:v>
      </x:c>
      <x:c r="F12" s="513">
        <x:v>21178</x:v>
      </x:c>
      <x:c r="G12" s="512">
        <x:v>21930</x:v>
      </x:c>
      <x:c r="H12" s="512">
        <x:v>19849</x:v>
      </x:c>
      <x:c r="I12" s="512">
        <x:v>21011</x:v>
      </x:c>
      <x:c r="J12" s="512">
        <x:v>22457</x:v>
      </x:c>
      <x:c r="K12" s="512">
        <x:v>19345</x:v>
      </x:c>
      <x:c r="L12" s="512">
        <x:v>17980</x:v>
      </x:c>
      <x:c r="M12" s="512">
        <x:v>17644</x:v>
      </x:c>
      <x:c r="N12" s="512">
        <x:v>18707</x:v>
      </x:c>
      <x:c r="O12" s="512">
        <x:v>18912</x:v>
      </x:c>
      <x:c r="P12" s="512">
        <x:v>19579</x:v>
      </x:c>
      <x:c r="Q12" s="512">
        <x:v>17146</x:v>
      </x:c>
      <x:c r="R12" s="512">
        <x:v>15891</x:v>
      </x:c>
      <x:c r="S12" s="512">
        <x:v>19929</x:v>
      </x:c>
      <x:c r="T12" s="512">
        <x:v>17379</x:v>
      </x:c>
      <x:c r="U12" s="512">
        <x:v>17939</x:v>
      </x:c>
      <x:c r="V12" s="512">
        <x:v>7287</x:v>
      </x:c>
      <x:c r="W12" s="512">
        <x:v>16929</x:v>
      </x:c>
      <x:c r="X12" s="512">
        <x:v>16644</x:v>
      </x:c>
      <x:c r="Y12" s="512">
        <x:v>10544</x:v>
      </x:c>
      <x:c r="Z12" s="512"/>
      <x:c r="AA12" s="512"/>
      <x:c r="AB12" s="512"/>
      <x:c r="AC12" s="512"/>
      <x:c r="AD12" s="512"/>
      <x:c r="AE12" s="512"/>
      <x:c r="AF12" s="512"/>
      <x:c r="AG12" s="512"/>
      <x:c r="AH12" s="512"/>
      <x:c r="AI12" s="512"/>
      <x:c r="AJ12" s="512"/>
      <x:c r="AK12" s="512"/>
      <x:c r="AL12" s="512"/>
      <x:c r="AM12" s="512"/>
      <x:c r="AN12" s="512"/>
      <x:c r="AO12" s="514"/>
    </x:row>
    <x:row r="13" ht="19" customHeight="1">
      <x:c r="B13" s="509">
        <x:v>12</x:v>
      </x:c>
      <x:c r="C13" s="512">
        <x:v>5217</x:v>
      </x:c>
      <x:c r="D13" s="513">
        <x:v>5369</x:v>
      </x:c>
      <x:c r="E13" s="513">
        <x:v>7177</x:v>
      </x:c>
      <x:c r="F13" s="513">
        <x:v>7478</x:v>
      </x:c>
      <x:c r="G13" s="512">
        <x:v>7747</x:v>
      </x:c>
      <x:c r="H13" s="512">
        <x:v>10341</x:v>
      </x:c>
      <x:c r="I13" s="512">
        <x:v>11982</x:v>
      </x:c>
      <x:c r="J13" s="512">
        <x:v>10464</x:v>
      </x:c>
      <x:c r="K13" s="512">
        <x:v>10438</x:v>
      </x:c>
      <x:c r="L13" s="512">
        <x:v>10680</x:v>
      </x:c>
      <x:c r="M13" s="512">
        <x:v>10250</x:v>
      </x:c>
      <x:c r="N13" s="512">
        <x:v>8203</x:v>
      </x:c>
      <x:c r="O13" s="512">
        <x:v>6048</x:v>
      </x:c>
      <x:c r="P13" s="512">
        <x:v>6751</x:v>
      </x:c>
      <x:c r="Q13" s="512">
        <x:v>6332</x:v>
      </x:c>
      <x:c r="R13" s="512">
        <x:v>6378</x:v>
      </x:c>
      <x:c r="S13" s="512">
        <x:v>6705</x:v>
      </x:c>
      <x:c r="T13" s="512">
        <x:v>6356</x:v>
      </x:c>
      <x:c r="U13" s="512">
        <x:v>6182</x:v>
      </x:c>
      <x:c r="V13" s="512">
        <x:v>6373</x:v>
      </x:c>
      <x:c r="W13" s="512">
        <x:v>8652</x:v>
      </x:c>
      <x:c r="X13" s="512">
        <x:v>6105</x:v>
      </x:c>
      <x:c r="Y13" s="512">
        <x:v>4804</x:v>
      </x:c>
      <x:c r="Z13" s="512"/>
      <x:c r="AA13" s="512"/>
      <x:c r="AB13" s="512"/>
      <x:c r="AC13" s="512"/>
      <x:c r="AD13" s="512"/>
      <x:c r="AE13" s="512"/>
      <x:c r="AF13" s="512"/>
      <x:c r="AG13" s="512"/>
      <x:c r="AH13" s="512"/>
      <x:c r="AI13" s="512"/>
      <x:c r="AJ13" s="512"/>
      <x:c r="AK13" s="512"/>
      <x:c r="AL13" s="512"/>
      <x:c r="AM13" s="512"/>
      <x:c r="AN13" s="512"/>
      <x:c r="AO13" s="514"/>
    </x:row>
    <x:row r="14" ht="19" customHeight="1">
      <x:c r="B14" s="509">
        <x:v>13</x:v>
      </x:c>
      <x:c r="C14" s="512">
        <x:v>6179</x:v>
      </x:c>
      <x:c r="D14" s="513">
        <x:v>5723</x:v>
      </x:c>
      <x:c r="E14" s="513">
        <x:v>5446</x:v>
      </x:c>
      <x:c r="F14" s="513">
        <x:v>4863</x:v>
      </x:c>
      <x:c r="G14" s="512">
        <x:v>7064</x:v>
      </x:c>
      <x:c r="H14" s="512">
        <x:v>7353</x:v>
      </x:c>
      <x:c r="I14" s="512">
        <x:v>6619</x:v>
      </x:c>
      <x:c r="J14" s="512">
        <x:v>6567</x:v>
      </x:c>
      <x:c r="K14" s="512">
        <x:v>8152</x:v>
      </x:c>
      <x:c r="L14" s="512">
        <x:v>6493</x:v>
      </x:c>
      <x:c r="M14" s="512">
        <x:v>6212</x:v>
      </x:c>
      <x:c r="N14" s="512">
        <x:v>9262</x:v>
      </x:c>
      <x:c r="O14" s="512">
        <x:v>7706</x:v>
      </x:c>
      <x:c r="P14" s="512">
        <x:v>6052</x:v>
      </x:c>
      <x:c r="Q14" s="512">
        <x:v>6019</x:v>
      </x:c>
      <x:c r="R14" s="512">
        <x:v>6031</x:v>
      </x:c>
      <x:c r="S14" s="512">
        <x:v>6701</x:v>
      </x:c>
      <x:c r="T14" s="512">
        <x:v>6236</x:v>
      </x:c>
      <x:c r="U14" s="512">
        <x:v>6586</x:v>
      </x:c>
      <x:c r="V14" s="512">
        <x:v>5845</x:v>
      </x:c>
      <x:c r="W14" s="512">
        <x:v>6620</x:v>
      </x:c>
      <x:c r="X14" s="512">
        <x:v>6013</x:v>
      </x:c>
      <x:c r="Y14" s="512">
        <x:v>3357</x:v>
      </x:c>
      <x:c r="Z14" s="512"/>
      <x:c r="AA14" s="512"/>
      <x:c r="AB14" s="512"/>
      <x:c r="AC14" s="512"/>
      <x:c r="AD14" s="512"/>
      <x:c r="AE14" s="512"/>
      <x:c r="AF14" s="512"/>
      <x:c r="AG14" s="512"/>
      <x:c r="AH14" s="512"/>
      <x:c r="AI14" s="512"/>
      <x:c r="AJ14" s="512"/>
      <x:c r="AK14" s="512"/>
      <x:c r="AL14" s="512"/>
      <x:c r="AM14" s="512"/>
      <x:c r="AN14" s="512"/>
      <x:c r="AO14" s="514"/>
    </x:row>
    <x:row r="15" ht="19" customHeight="1">
      <x:c r="B15" s="509">
        <x:v>14</x:v>
      </x:c>
      <x:c r="C15" s="512">
        <x:v>6224</x:v>
      </x:c>
      <x:c r="D15" s="513">
        <x:v>6688</x:v>
      </x:c>
      <x:c r="E15" s="513">
        <x:v>5064</x:v>
      </x:c>
      <x:c r="F15" s="513">
        <x:v>4964</x:v>
      </x:c>
      <x:c r="G15" s="512">
        <x:v>6716</x:v>
      </x:c>
      <x:c r="H15" s="512">
        <x:v>7099</x:v>
      </x:c>
      <x:c r="I15" s="512">
        <x:v>6362</x:v>
      </x:c>
      <x:c r="J15" s="512">
        <x:v>7537</x:v>
      </x:c>
      <x:c r="K15" s="512">
        <x:v>6328</x:v>
      </x:c>
      <x:c r="L15" s="512">
        <x:v>6229</x:v>
      </x:c>
      <x:c r="M15" s="512">
        <x:v>7749</x:v>
      </x:c>
      <x:c r="N15" s="512">
        <x:v>6000</x:v>
      </x:c>
      <x:c r="O15" s="512">
        <x:v>6308</x:v>
      </x:c>
      <x:c r="P15" s="512">
        <x:v>4608</x:v>
      </x:c>
      <x:c r="Q15" s="512">
        <x:v>6425</x:v>
      </x:c>
      <x:c r="R15" s="512">
        <x:v>6161</x:v>
      </x:c>
      <x:c r="S15" s="512">
        <x:v>6100</x:v>
      </x:c>
      <x:c r="T15" s="512">
        <x:v>4165</x:v>
      </x:c>
      <x:c r="U15" s="512">
        <x:v>6031</x:v>
      </x:c>
      <x:c r="V15" s="512">
        <x:v>5845</x:v>
      </x:c>
      <x:c r="W15" s="512">
        <x:v>3418</x:v>
      </x:c>
      <x:c r="X15" s="512">
        <x:v>5587</x:v>
      </x:c>
      <x:c r="Y15" s="512">
        <x:v>4089</x:v>
      </x:c>
      <x:c r="Z15" s="512"/>
      <x:c r="AA15" s="512"/>
      <x:c r="AB15" s="512"/>
      <x:c r="AC15" s="512"/>
      <x:c r="AD15" s="512"/>
      <x:c r="AE15" s="512"/>
      <x:c r="AF15" s="512"/>
      <x:c r="AG15" s="512"/>
      <x:c r="AH15" s="512"/>
      <x:c r="AI15" s="512"/>
      <x:c r="AJ15" s="512"/>
      <x:c r="AK15" s="512"/>
      <x:c r="AL15" s="512"/>
      <x:c r="AM15" s="512"/>
      <x:c r="AN15" s="512"/>
      <x:c r="AO15" s="514"/>
    </x:row>
    <x:row r="16" ht="19" customHeight="1">
      <x:c r="B16" s="509">
        <x:v>15</x:v>
      </x:c>
      <x:c r="C16" s="512">
        <x:v>14495</x:v>
      </x:c>
      <x:c r="D16" s="513">
        <x:v>25390</x:v>
      </x:c>
      <x:c r="E16" s="513">
        <x:v>21693</x:v>
      </x:c>
      <x:c r="F16" s="513">
        <x:v>16528</x:v>
      </x:c>
      <x:c r="G16" s="512">
        <x:v>12418</x:v>
      </x:c>
      <x:c r="H16" s="512">
        <x:v>15385</x:v>
      </x:c>
      <x:c r="I16" s="512">
        <x:v>20385</x:v>
      </x:c>
      <x:c r="J16" s="512">
        <x:v>14215</x:v>
      </x:c>
      <x:c r="K16" s="512">
        <x:v>8629</x:v>
      </x:c>
      <x:c r="L16" s="512">
        <x:v>10342</x:v>
      </x:c>
      <x:c r="M16" s="512">
        <x:v>6504</x:v>
      </x:c>
      <x:c r="N16" s="512">
        <x:v>6019</x:v>
      </x:c>
      <x:c r="O16" s="512">
        <x:v>6289</x:v>
      </x:c>
      <x:c r="P16" s="512">
        <x:v>6104</x:v>
      </x:c>
      <x:c r="Q16" s="512">
        <x:v>6326</x:v>
      </x:c>
      <x:c r="R16" s="512">
        <x:v>8055</x:v>
      </x:c>
      <x:c r="S16" s="512">
        <x:v>6327</x:v>
      </x:c>
      <x:c r="T16" s="512">
        <x:v>6110</x:v>
      </x:c>
      <x:c r="U16" s="512">
        <x:v>7723</x:v>
      </x:c>
      <x:c r="V16" s="512">
        <x:v>8440</x:v>
      </x:c>
      <x:c r="W16" s="512">
        <x:v>6185</x:v>
      </x:c>
      <x:c r="X16" s="512">
        <x:v>8145</x:v>
      </x:c>
      <x:c r="Y16" s="512">
        <x:v>6199</x:v>
      </x:c>
      <x:c r="Z16" s="512"/>
      <x:c r="AA16" s="512"/>
      <x:c r="AB16" s="512"/>
      <x:c r="AC16" s="512"/>
      <x:c r="AD16" s="512"/>
      <x:c r="AE16" s="512"/>
      <x:c r="AF16" s="512"/>
      <x:c r="AG16" s="512"/>
      <x:c r="AH16" s="512"/>
      <x:c r="AI16" s="512"/>
      <x:c r="AJ16" s="512"/>
      <x:c r="AK16" s="512"/>
      <x:c r="AL16" s="512"/>
      <x:c r="AM16" s="512"/>
      <x:c r="AN16" s="512"/>
      <x:c r="AO16" s="514"/>
    </x:row>
    <x:row r="17" ht="19" customHeight="1">
      <x:c r="B17" s="509">
        <x:v>16</x:v>
      </x:c>
      <x:c r="C17" s="512">
        <x:v>5119</x:v>
      </x:c>
      <x:c r="D17" s="513">
        <x:v>7190</x:v>
      </x:c>
      <x:c r="E17" s="513">
        <x:v>8127</x:v>
      </x:c>
      <x:c r="F17" s="513">
        <x:v>7200</x:v>
      </x:c>
      <x:c r="G17" s="512">
        <x:v>8858</x:v>
      </x:c>
      <x:c r="H17" s="512">
        <x:v>9854</x:v>
      </x:c>
      <x:c r="I17" s="512">
        <x:v>12183</x:v>
      </x:c>
      <x:c r="J17" s="512">
        <x:v>10080</x:v>
      </x:c>
      <x:c r="K17" s="512">
        <x:v>11962</x:v>
      </x:c>
      <x:c r="L17" s="512">
        <x:v>10602</x:v>
      </x:c>
      <x:c r="M17" s="512">
        <x:v>11610</x:v>
      </x:c>
      <x:c r="N17" s="512">
        <x:v>10932</x:v>
      </x:c>
      <x:c r="O17" s="512">
        <x:v>10992</x:v>
      </x:c>
      <x:c r="P17" s="512">
        <x:v>6611</x:v>
      </x:c>
      <x:c r="Q17" s="512">
        <x:v>10015</x:v>
      </x:c>
      <x:c r="R17" s="512">
        <x:v>9897</x:v>
      </x:c>
      <x:c r="S17" s="512">
        <x:v>7237</x:v>
      </x:c>
      <x:c r="T17" s="512">
        <x:v>6063</x:v>
      </x:c>
      <x:c r="U17" s="512">
        <x:v>6040</x:v>
      </x:c>
      <x:c r="V17" s="512">
        <x:v>6067</x:v>
      </x:c>
      <x:c r="W17" s="512">
        <x:v>6204</x:v>
      </x:c>
      <x:c r="X17" s="512">
        <x:v>6097</x:v>
      </x:c>
      <x:c r="Y17" s="512">
        <x:v>4894</x:v>
      </x:c>
      <x:c r="Z17" s="512"/>
      <x:c r="AA17" s="512"/>
      <x:c r="AB17" s="512"/>
      <x:c r="AC17" s="512"/>
      <x:c r="AD17" s="512"/>
      <x:c r="AE17" s="512"/>
      <x:c r="AF17" s="512"/>
      <x:c r="AG17" s="512"/>
      <x:c r="AH17" s="512"/>
      <x:c r="AI17" s="512"/>
      <x:c r="AJ17" s="512"/>
      <x:c r="AK17" s="512"/>
      <x:c r="AL17" s="512"/>
      <x:c r="AM17" s="512"/>
      <x:c r="AN17" s="512"/>
      <x:c r="AO17" s="514"/>
    </x:row>
    <x:row r="18" ht="19" customHeight="1">
      <x:c r="B18" s="509">
        <x:v>17</x:v>
      </x:c>
      <x:c r="C18" s="512">
        <x:v>6186</x:v>
      </x:c>
      <x:c r="D18" s="513">
        <x:v>10301</x:v>
      </x:c>
      <x:c r="E18" s="513">
        <x:v>12333</x:v>
      </x:c>
      <x:c r="F18" s="513">
        <x:v>17192</x:v>
      </x:c>
      <x:c r="G18" s="512">
        <x:v>16789</x:v>
      </x:c>
      <x:c r="H18" s="512">
        <x:v>18528</x:v>
      </x:c>
      <x:c r="I18" s="512">
        <x:v>20485</x:v>
      </x:c>
      <x:c r="J18" s="512">
        <x:v>17814</x:v>
      </x:c>
      <x:c r="K18" s="512">
        <x:v>19364</x:v>
      </x:c>
      <x:c r="L18" s="512">
        <x:v>15360</x:v>
      </x:c>
      <x:c r="M18" s="512">
        <x:v>19261</x:v>
      </x:c>
      <x:c r="N18" s="512">
        <x:v>16958</x:v>
      </x:c>
      <x:c r="O18" s="512">
        <x:v>13217</x:v>
      </x:c>
      <x:c r="P18" s="512">
        <x:v>10596</x:v>
      </x:c>
      <x:c r="Q18" s="512">
        <x:v>11105</x:v>
      </x:c>
      <x:c r="R18" s="512">
        <x:v>14597</x:v>
      </x:c>
      <x:c r="S18" s="512">
        <x:v>17456</x:v>
      </x:c>
      <x:c r="T18" s="512">
        <x:v>15895</x:v>
      </x:c>
      <x:c r="U18" s="512">
        <x:v>16275</x:v>
      </x:c>
      <x:c r="V18" s="512">
        <x:v>15690</x:v>
      </x:c>
      <x:c r="W18" s="512">
        <x:v>15661</x:v>
      </x:c>
      <x:c r="X18" s="512">
        <x:v>15732</x:v>
      </x:c>
      <x:c r="Y18" s="512">
        <x:v>11216</x:v>
      </x:c>
      <x:c r="Z18" s="512"/>
      <x:c r="AA18" s="512"/>
      <x:c r="AB18" s="512"/>
      <x:c r="AC18" s="512"/>
      <x:c r="AD18" s="512"/>
      <x:c r="AE18" s="512"/>
      <x:c r="AF18" s="512"/>
      <x:c r="AG18" s="512"/>
      <x:c r="AH18" s="512"/>
      <x:c r="AI18" s="512"/>
      <x:c r="AJ18" s="512"/>
      <x:c r="AK18" s="512"/>
      <x:c r="AL18" s="512"/>
      <x:c r="AM18" s="512"/>
      <x:c r="AN18" s="512"/>
      <x:c r="AO18" s="514"/>
    </x:row>
    <x:row r="19" ht="19" customHeight="1">
      <x:c r="B19" s="509">
        <x:v>18</x:v>
      </x:c>
      <x:c r="C19" s="512">
        <x:v>5096</x:v>
      </x:c>
      <x:c r="D19" s="513">
        <x:v>5465</x:v>
      </x:c>
      <x:c r="E19" s="513">
        <x:v>8407</x:v>
      </x:c>
      <x:c r="F19" s="513">
        <x:v>6504</x:v>
      </x:c>
      <x:c r="G19" s="512">
        <x:v>7749</x:v>
      </x:c>
      <x:c r="H19" s="512">
        <x:v>7455</x:v>
      </x:c>
      <x:c r="I19" s="512">
        <x:v>6763</x:v>
      </x:c>
      <x:c r="J19" s="512">
        <x:v>6265</x:v>
      </x:c>
      <x:c r="K19" s="512">
        <x:v>6882</x:v>
      </x:c>
      <x:c r="L19" s="512">
        <x:v>7012</x:v>
      </x:c>
      <x:c r="M19" s="512">
        <x:v>7915</x:v>
      </x:c>
      <x:c r="N19" s="512">
        <x:v>6181</x:v>
      </x:c>
      <x:c r="O19" s="512">
        <x:v>6199</x:v>
      </x:c>
      <x:c r="P19" s="512">
        <x:v>5103</x:v>
      </x:c>
      <x:c r="Q19" s="512">
        <x:v>8606</x:v>
      </x:c>
      <x:c r="R19" s="512">
        <x:v>8418</x:v>
      </x:c>
      <x:c r="S19" s="512">
        <x:v>8008</x:v>
      </x:c>
      <x:c r="T19" s="512">
        <x:v>4642</x:v>
      </x:c>
      <x:c r="U19" s="512">
        <x:v>6192</x:v>
      </x:c>
      <x:c r="V19" s="512">
        <x:v>3057</x:v>
      </x:c>
      <x:c r="W19" s="512">
        <x:v>1882</x:v>
      </x:c>
      <x:c r="X19" s="512">
        <x:v>1482</x:v>
      </x:c>
      <x:c r="Y19" s="512">
        <x:v>3094</x:v>
      </x:c>
      <x:c r="Z19" s="512"/>
      <x:c r="AA19" s="512"/>
      <x:c r="AB19" s="512"/>
      <x:c r="AC19" s="512"/>
      <x:c r="AD19" s="512"/>
      <x:c r="AE19" s="512"/>
      <x:c r="AF19" s="512"/>
      <x:c r="AG19" s="512"/>
      <x:c r="AH19" s="512"/>
      <x:c r="AI19" s="512"/>
      <x:c r="AJ19" s="512"/>
      <x:c r="AK19" s="512"/>
      <x:c r="AL19" s="512"/>
      <x:c r="AM19" s="512"/>
      <x:c r="AN19" s="512"/>
      <x:c r="AO19" s="514"/>
    </x:row>
    <x:row r="20" ht="19" customHeight="1">
      <x:c r="B20" s="509">
        <x:v>19</x:v>
      </x:c>
      <x:c r="C20" s="512">
        <x:v>6797</x:v>
      </x:c>
      <x:c r="D20" s="513">
        <x:v>7490</x:v>
      </x:c>
      <x:c r="E20" s="513">
        <x:v>5775</x:v>
      </x:c>
      <x:c r="F20" s="513">
        <x:v>7884</x:v>
      </x:c>
      <x:c r="G20" s="512">
        <x:v>9287</x:v>
      </x:c>
      <x:c r="H20" s="512">
        <x:v>8827</x:v>
      </x:c>
      <x:c r="I20" s="512">
        <x:v>7734</x:v>
      </x:c>
      <x:c r="J20" s="512">
        <x:v>10296</x:v>
      </x:c>
      <x:c r="K20" s="512">
        <x:v>10131</x:v>
      </x:c>
      <x:c r="L20" s="512">
        <x:v>9176</x:v>
      </x:c>
      <x:c r="M20" s="512">
        <x:v>8994</x:v>
      </x:c>
      <x:c r="N20" s="512">
        <x:v>7578</x:v>
      </x:c>
      <x:c r="O20" s="512">
        <x:v>7838</x:v>
      </x:c>
      <x:c r="P20" s="512">
        <x:v>6591</x:v>
      </x:c>
      <x:c r="Q20" s="512">
        <x:v>7091</x:v>
      </x:c>
      <x:c r="R20" s="512">
        <x:v>7068</x:v>
      </x:c>
      <x:c r="S20" s="512">
        <x:v>8466</x:v>
      </x:c>
      <x:c r="T20" s="512">
        <x:v>6627</x:v>
      </x:c>
      <x:c r="U20" s="512">
        <x:v>6983</x:v>
      </x:c>
      <x:c r="V20" s="512">
        <x:v>7952</x:v>
      </x:c>
      <x:c r="W20" s="512">
        <x:v>10510</x:v>
      </x:c>
      <x:c r="X20" s="512">
        <x:v>9442</x:v>
      </x:c>
      <x:c r="Y20" s="512">
        <x:v>5259</x:v>
      </x:c>
      <x:c r="Z20" s="512"/>
      <x:c r="AA20" s="512"/>
      <x:c r="AB20" s="512"/>
      <x:c r="AC20" s="512"/>
      <x:c r="AD20" s="512"/>
      <x:c r="AE20" s="512"/>
      <x:c r="AF20" s="512"/>
      <x:c r="AG20" s="512"/>
      <x:c r="AH20" s="512"/>
      <x:c r="AI20" s="512"/>
      <x:c r="AJ20" s="512"/>
      <x:c r="AK20" s="512"/>
      <x:c r="AL20" s="512"/>
      <x:c r="AM20" s="512"/>
      <x:c r="AN20" s="512"/>
      <x:c r="AO20" s="514"/>
    </x:row>
    <x:row r="21" ht="19" customHeight="1">
      <x:c r="B21" s="509">
        <x:v>20</x:v>
      </x:c>
      <x:c r="C21" s="512">
        <x:v>11601</x:v>
      </x:c>
      <x:c r="D21" s="513">
        <x:v>8532</x:v>
      </x:c>
      <x:c r="E21" s="513">
        <x:v>12933</x:v>
      </x:c>
      <x:c r="F21" s="513">
        <x:v>12992</x:v>
      </x:c>
      <x:c r="G21" s="512">
        <x:v>7447</x:v>
      </x:c>
      <x:c r="H21" s="512">
        <x:v>9324</x:v>
      </x:c>
      <x:c r="I21" s="512">
        <x:v>11578</x:v>
      </x:c>
      <x:c r="J21" s="512">
        <x:v>15946</x:v>
      </x:c>
      <x:c r="K21" s="512">
        <x:v>10599</x:v>
      </x:c>
      <x:c r="L21" s="512">
        <x:v>13013</x:v>
      </x:c>
      <x:c r="M21" s="512">
        <x:v>6942</x:v>
      </x:c>
      <x:c r="N21" s="512">
        <x:v>7085</x:v>
      </x:c>
      <x:c r="O21" s="512">
        <x:v>9992</x:v>
      </x:c>
      <x:c r="P21" s="512">
        <x:v>5599</x:v>
      </x:c>
      <x:c r="Q21" s="512">
        <x:v>7883</x:v>
      </x:c>
      <x:c r="R21" s="512">
        <x:v>8138</x:v>
      </x:c>
      <x:c r="S21" s="512">
        <x:v>6737</x:v>
      </x:c>
      <x:c r="T21" s="512">
        <x:v>5788</x:v>
      </x:c>
      <x:c r="U21" s="512">
        <x:v>3803</x:v>
      </x:c>
      <x:c r="V21" s="512">
        <x:v>6029</x:v>
      </x:c>
      <x:c r="W21" s="512">
        <x:v>5747</x:v>
      </x:c>
      <x:c r="X21" s="512">
        <x:v>7356</x:v>
      </x:c>
      <x:c r="Y21" s="512">
        <x:v>4474</x:v>
      </x:c>
      <x:c r="Z21" s="512"/>
      <x:c r="AA21" s="512"/>
      <x:c r="AB21" s="512"/>
      <x:c r="AC21" s="512"/>
      <x:c r="AD21" s="512"/>
      <x:c r="AE21" s="512"/>
      <x:c r="AF21" s="512"/>
      <x:c r="AG21" s="512"/>
      <x:c r="AH21" s="512"/>
      <x:c r="AI21" s="512"/>
      <x:c r="AJ21" s="512"/>
      <x:c r="AK21" s="512"/>
      <x:c r="AL21" s="512"/>
      <x:c r="AM21" s="512"/>
      <x:c r="AN21" s="512"/>
      <x:c r="AO21" s="514"/>
    </x:row>
    <x:row r="22" ht="19" customHeight="1">
      <x:c r="B22" s="509">
        <x:v>21</x:v>
      </x:c>
      <x:c r="C22" s="516">
        <x:v>4632</x:v>
      </x:c>
      <x:c r="D22" s="513">
        <x:v>18834</x:v>
      </x:c>
      <x:c r="E22" s="513">
        <x:v>29870</x:v>
      </x:c>
      <x:c r="F22" s="513">
        <x:v>21618</x:v>
      </x:c>
      <x:c r="G22" s="512">
        <x:v>24270</x:v>
      </x:c>
      <x:c r="H22" s="512">
        <x:v>41663</x:v>
      </x:c>
      <x:c r="I22" s="512">
        <x:v>29856</x:v>
      </x:c>
      <x:c r="J22" s="512">
        <x:v>20641</x:v>
      </x:c>
      <x:c r="K22" s="512">
        <x:v>27710</x:v>
      </x:c>
      <x:c r="L22" s="512">
        <x:v>18480</x:v>
      </x:c>
      <x:c r="M22" s="512">
        <x:v>7683</x:v>
      </x:c>
      <x:c r="N22" s="512">
        <x:v>4692</x:v>
      </x:c>
      <x:c r="O22" s="512">
        <x:v>6188</x:v>
      </x:c>
      <x:c r="P22" s="512">
        <x:v>4784</x:v>
      </x:c>
      <x:c r="Q22" s="512">
        <x:v>1400</x:v>
      </x:c>
      <x:c r="R22" s="512">
        <x:v>4374</x:v>
      </x:c>
      <x:c r="S22" s="512">
        <x:v>5814</x:v>
      </x:c>
      <x:c r="T22" s="512">
        <x:v>4719</x:v>
      </x:c>
      <x:c r="U22" s="512">
        <x:v>0</x:v>
      </x:c>
      <x:c r="V22" s="512">
        <x:v>151</x:v>
      </x:c>
      <x:c r="W22" s="512">
        <x:v>298</x:v>
      </x:c>
      <x:c r="X22" s="512">
        <x:v>0</x:v>
      </x:c>
      <x:c r="Y22" s="512">
        <x:v>2077</x:v>
      </x:c>
      <x:c r="Z22" s="512"/>
      <x:c r="AA22" s="512"/>
      <x:c r="AB22" s="512"/>
      <x:c r="AC22" s="512"/>
      <x:c r="AD22" s="512"/>
      <x:c r="AE22" s="512"/>
      <x:c r="AF22" s="512"/>
      <x:c r="AG22" s="512"/>
      <x:c r="AH22" s="512"/>
      <x:c r="AI22" s="512"/>
      <x:c r="AJ22" s="512"/>
      <x:c r="AK22" s="512"/>
      <x:c r="AL22" s="512"/>
      <x:c r="AM22" s="512"/>
      <x:c r="AN22" s="512"/>
      <x:c r="AO22" s="514"/>
    </x:row>
    <x:row r="23" ht="19" customHeight="1">
      <x:c r="B23" s="509">
        <x:v>22</x:v>
      </x:c>
      <x:c r="C23" s="516">
        <x:v>3209</x:v>
      </x:c>
      <x:c r="D23" s="515">
        <x:v>3632</x:v>
      </x:c>
      <x:c r="E23" s="513">
        <x:v>5900</x:v>
      </x:c>
      <x:c r="F23" s="513">
        <x:v>5919</x:v>
      </x:c>
      <x:c r="G23" s="512">
        <x:v>6980</x:v>
      </x:c>
      <x:c r="H23" s="512">
        <x:v>12073</x:v>
      </x:c>
      <x:c r="I23" s="512">
        <x:v>11122</x:v>
      </x:c>
      <x:c r="J23" s="512">
        <x:v>7030</x:v>
      </x:c>
      <x:c r="K23" s="512">
        <x:v>12592</x:v>
      </x:c>
      <x:c r="L23" s="512">
        <x:v>10728</x:v>
      </x:c>
      <x:c r="M23" s="512">
        <x:v>11978</x:v>
      </x:c>
      <x:c r="N23" s="512">
        <x:v>10714</x:v>
      </x:c>
      <x:c r="O23" s="512">
        <x:v>12616</x:v>
      </x:c>
      <x:c r="P23" s="512">
        <x:v>5959</x:v>
      </x:c>
      <x:c r="Q23" s="512">
        <x:v>11564</x:v>
      </x:c>
      <x:c r="R23" s="512">
        <x:v>7677</x:v>
      </x:c>
      <x:c r="S23" s="512">
        <x:v>11506</x:v>
      </x:c>
      <x:c r="T23" s="512">
        <x:v>13158</x:v>
      </x:c>
      <x:c r="U23" s="512">
        <x:v>9729</x:v>
      </x:c>
      <x:c r="V23" s="512">
        <x:v>3771</x:v>
      </x:c>
      <x:c r="W23" s="512">
        <x:v>4331</x:v>
      </x:c>
      <x:c r="X23" s="512">
        <x:v>5860</x:v>
      </x:c>
      <x:c r="Y23" s="512">
        <x:v>2925</x:v>
      </x:c>
      <x:c r="Z23" s="512"/>
      <x:c r="AA23" s="512"/>
      <x:c r="AB23" s="512"/>
      <x:c r="AC23" s="512"/>
      <x:c r="AD23" s="512"/>
      <x:c r="AE23" s="512"/>
      <x:c r="AF23" s="512"/>
      <x:c r="AG23" s="512"/>
      <x:c r="AH23" s="512"/>
      <x:c r="AI23" s="512"/>
      <x:c r="AJ23" s="512"/>
      <x:c r="AK23" s="512"/>
      <x:c r="AL23" s="512"/>
      <x:c r="AM23" s="512"/>
      <x:c r="AN23" s="512"/>
      <x:c r="AO23" s="514"/>
    </x:row>
    <x:row r="24" ht="19" customHeight="1">
      <x:c r="B24" s="509">
        <x:v>23</x:v>
      </x:c>
      <x:c r="C24" s="512">
        <x:v>8362</x:v>
      </x:c>
      <x:c r="D24" s="513">
        <x:v>7537</x:v>
      </x:c>
      <x:c r="E24" s="513">
        <x:v>15652</x:v>
      </x:c>
      <x:c r="F24" s="513">
        <x:v>17481</x:v>
      </x:c>
      <x:c r="G24" s="512">
        <x:v>17594</x:v>
      </x:c>
      <x:c r="H24" s="512">
        <x:v>16991</x:v>
      </x:c>
      <x:c r="I24" s="512">
        <x:v>17511</x:v>
      </x:c>
      <x:c r="J24" s="512">
        <x:v>16699</x:v>
      </x:c>
      <x:c r="K24" s="512">
        <x:v>17600</x:v>
      </x:c>
      <x:c r="L24" s="512">
        <x:v>16801</x:v>
      </x:c>
      <x:c r="M24" s="512">
        <x:v>16336</x:v>
      </x:c>
      <x:c r="N24" s="512">
        <x:v>15289</x:v>
      </x:c>
      <x:c r="O24" s="512">
        <x:v>15067</x:v>
      </x:c>
      <x:c r="P24" s="512">
        <x:v>15964</x:v>
      </x:c>
      <x:c r="Q24" s="512">
        <x:v>14621</x:v>
      </x:c>
      <x:c r="R24" s="512">
        <x:v>14070</x:v>
      </x:c>
      <x:c r="S24" s="512">
        <x:v>16554</x:v>
      </x:c>
      <x:c r="T24" s="512">
        <x:v>16575</x:v>
      </x:c>
      <x:c r="U24" s="512">
        <x:v>14608</x:v>
      </x:c>
      <x:c r="V24" s="512">
        <x:v>16356</x:v>
      </x:c>
      <x:c r="W24" s="512">
        <x:v>16527</x:v>
      </x:c>
      <x:c r="X24" s="512">
        <x:v>16961</x:v>
      </x:c>
      <x:c r="Y24" s="512">
        <x:v>10957</x:v>
      </x:c>
      <x:c r="Z24" s="512"/>
      <x:c r="AA24" s="512"/>
      <x:c r="AB24" s="512"/>
      <x:c r="AC24" s="512"/>
      <x:c r="AD24" s="512"/>
      <x:c r="AE24" s="512"/>
      <x:c r="AF24" s="512"/>
      <x:c r="AG24" s="512"/>
      <x:c r="AH24" s="512"/>
      <x:c r="AI24" s="512"/>
      <x:c r="AJ24" s="512"/>
      <x:c r="AK24" s="512"/>
      <x:c r="AL24" s="512"/>
      <x:c r="AM24" s="512"/>
      <x:c r="AN24" s="512"/>
      <x:c r="AO24" s="514"/>
    </x:row>
    <x:row r="25" ht="19" customHeight="1">
      <x:c r="B25" s="509">
        <x:v>24</x:v>
      </x:c>
      <x:c r="C25" s="516">
        <x:v>538</x:v>
      </x:c>
      <x:c r="D25" s="515">
        <x:v>4394</x:v>
      </x:c>
      <x:c r="E25" s="515">
        <x:v>2683</x:v>
      </x:c>
      <x:c r="F25" s="515">
        <x:v>1306</x:v>
      </x:c>
      <x:c r="G25" s="512">
        <x:v>6303</x:v>
      </x:c>
      <x:c r="H25" s="512">
        <x:v>8212</x:v>
      </x:c>
      <x:c r="I25" s="512">
        <x:v>6637</x:v>
      </x:c>
      <x:c r="J25" s="512">
        <x:v>7429</x:v>
      </x:c>
      <x:c r="K25" s="512">
        <x:v>8407</x:v>
      </x:c>
      <x:c r="L25" s="512">
        <x:v>2003</x:v>
      </x:c>
      <x:c r="M25" s="512">
        <x:v>0</x:v>
      </x:c>
      <x:c r="N25" s="512">
        <x:v>0</x:v>
      </x:c>
      <x:c r="O25" s="512">
        <x:v>0</x:v>
      </x:c>
      <x:c r="P25" s="512">
        <x:v>0</x:v>
      </x:c>
      <x:c r="Q25" s="512">
        <x:v>0</x:v>
      </x:c>
      <x:c r="R25" s="512">
        <x:v>0</x:v>
      </x:c>
      <x:c r="S25" s="512">
        <x:v>0</x:v>
      </x:c>
      <x:c r="T25" s="512">
        <x:v>0</x:v>
      </x:c>
      <x:c r="U25" s="512">
        <x:v>0</x:v>
      </x:c>
      <x:c r="V25" s="512"/>
      <x:c r="W25" s="512">
        <x:v>2187</x:v>
      </x:c>
      <x:c r="X25" s="512">
        <x:v>3807</x:v>
      </x:c>
      <x:c r="Y25" s="512">
        <x:v>3817</x:v>
      </x:c>
      <x:c r="Z25" s="512"/>
      <x:c r="AA25" s="512"/>
      <x:c r="AB25" s="512"/>
      <x:c r="AC25" s="512"/>
      <x:c r="AD25" s="512"/>
      <x:c r="AE25" s="512"/>
      <x:c r="AF25" s="512"/>
      <x:c r="AG25" s="512"/>
      <x:c r="AH25" s="512"/>
      <x:c r="AI25" s="512"/>
      <x:c r="AJ25" s="512"/>
      <x:c r="AK25" s="512"/>
      <x:c r="AL25" s="512"/>
      <x:c r="AM25" s="512"/>
      <x:c r="AN25" s="512"/>
      <x:c r="AO25" s="514"/>
    </x:row>
    <x:row r="26" ht="19" customHeight="1">
      <x:c r="B26" s="509">
        <x:v>25</x:v>
      </x:c>
      <x:c r="C26" s="512">
        <x:v>6436</x:v>
      </x:c>
      <x:c r="D26" s="513">
        <x:v>6150</x:v>
      </x:c>
      <x:c r="E26" s="513">
        <x:v>7598</x:v>
      </x:c>
      <x:c r="F26" s="513">
        <x:v>6508</x:v>
      </x:c>
      <x:c r="G26" s="512">
        <x:v>7489</x:v>
      </x:c>
      <x:c r="H26" s="512">
        <x:v>10132</x:v>
      </x:c>
      <x:c r="I26" s="512">
        <x:v>6814</x:v>
      </x:c>
      <x:c r="J26" s="512">
        <x:v>6937</x:v>
      </x:c>
      <x:c r="K26" s="512">
        <x:v>8451</x:v>
      </x:c>
      <x:c r="L26" s="512">
        <x:v>5755</x:v>
      </x:c>
      <x:c r="M26" s="512">
        <x:v>7634</x:v>
      </x:c>
      <x:c r="N26" s="512">
        <x:v>7369</x:v>
      </x:c>
      <x:c r="O26" s="512">
        <x:v>6288</x:v>
      </x:c>
      <x:c r="P26" s="512">
        <x:v>15964</x:v>
      </x:c>
      <x:c r="Q26" s="512">
        <x:v>6665</x:v>
      </x:c>
      <x:c r="R26" s="512">
        <x:v>6053</x:v>
      </x:c>
      <x:c r="S26" s="512">
        <x:v>6772</x:v>
      </x:c>
      <x:c r="T26" s="512">
        <x:v>7482</x:v>
      </x:c>
      <x:c r="U26" s="512">
        <x:v>7434</x:v>
      </x:c>
      <x:c r="V26" s="512">
        <x:v>6628</x:v>
      </x:c>
      <x:c r="W26" s="512">
        <x:v>7773</x:v>
      </x:c>
      <x:c r="X26" s="512">
        <x:v>6337</x:v>
      </x:c>
      <x:c r="Y26" s="512">
        <x:v>5632</x:v>
      </x:c>
      <x:c r="Z26" s="512"/>
      <x:c r="AA26" s="512"/>
      <x:c r="AB26" s="512"/>
      <x:c r="AC26" s="512"/>
      <x:c r="AD26" s="512"/>
      <x:c r="AE26" s="512"/>
      <x:c r="AF26" s="512"/>
      <x:c r="AG26" s="512"/>
      <x:c r="AH26" s="512"/>
      <x:c r="AI26" s="512"/>
      <x:c r="AJ26" s="512"/>
      <x:c r="AK26" s="512"/>
      <x:c r="AL26" s="512"/>
      <x:c r="AM26" s="512"/>
      <x:c r="AN26" s="512"/>
      <x:c r="AO26" s="514"/>
    </x:row>
    <x:row r="27" ht="19" customHeight="1">
      <x:c r="B27" s="509">
        <x:v>26</x:v>
      </x:c>
      <x:c r="C27" s="512">
        <x:v>6195</x:v>
      </x:c>
      <x:c r="D27" s="513">
        <x:v>10041</x:v>
      </x:c>
      <x:c r="E27" s="513">
        <x:v>15848</x:v>
      </x:c>
      <x:c r="F27" s="513">
        <x:v>19093</x:v>
      </x:c>
      <x:c r="G27" s="512">
        <x:v>18716</x:v>
      </x:c>
      <x:c r="H27" s="512">
        <x:v>16080</x:v>
      </x:c>
      <x:c r="I27" s="512">
        <x:v>17622</x:v>
      </x:c>
      <x:c r="J27" s="512">
        <x:v>13953</x:v>
      </x:c>
      <x:c r="K27" s="512">
        <x:v>16844</x:v>
      </x:c>
      <x:c r="L27" s="512">
        <x:v>15953</x:v>
      </x:c>
      <x:c r="M27" s="512">
        <x:v>14679</x:v>
      </x:c>
      <x:c r="N27" s="512">
        <x:v>14554</x:v>
      </x:c>
      <x:c r="O27" s="512">
        <x:v>15311</x:v>
      </x:c>
      <x:c r="P27" s="512">
        <x:v>13547</x:v>
      </x:c>
      <x:c r="Q27" s="512">
        <x:v>11846</x:v>
      </x:c>
      <x:c r="R27" s="512">
        <x:v>13377</x:v>
      </x:c>
      <x:c r="S27" s="512">
        <x:v>14174</x:v>
      </x:c>
      <x:c r="T27" s="512">
        <x:v>13335</x:v>
      </x:c>
      <x:c r="U27" s="512">
        <x:v>14112</x:v>
      </x:c>
      <x:c r="V27" s="512">
        <x:v>13150</x:v>
      </x:c>
      <x:c r="W27" s="512">
        <x:v>15103</x:v>
      </x:c>
      <x:c r="X27" s="512">
        <x:v>14454</x:v>
      </x:c>
      <x:c r="Y27" s="512">
        <x:v>9818</x:v>
      </x:c>
      <x:c r="Z27" s="512"/>
      <x:c r="AA27" s="512"/>
      <x:c r="AB27" s="512"/>
      <x:c r="AC27" s="512"/>
      <x:c r="AD27" s="512"/>
      <x:c r="AE27" s="512"/>
      <x:c r="AF27" s="512"/>
      <x:c r="AG27" s="512"/>
      <x:c r="AH27" s="512"/>
      <x:c r="AI27" s="512"/>
      <x:c r="AJ27" s="512"/>
      <x:c r="AK27" s="512"/>
      <x:c r="AL27" s="512"/>
      <x:c r="AM27" s="512"/>
      <x:c r="AN27" s="512"/>
      <x:c r="AO27" s="514"/>
    </x:row>
    <x:row r="28" ht="19" customHeight="1">
      <x:c r="B28" s="509">
        <x:v>27</x:v>
      </x:c>
      <x:c r="C28" s="512">
        <x:v>11190</x:v>
      </x:c>
      <x:c r="D28" s="513">
        <x:v>7790</x:v>
      </x:c>
      <x:c r="E28" s="513">
        <x:v>9977</x:v>
      </x:c>
      <x:c r="F28" s="513">
        <x:v>5609</x:v>
      </x:c>
      <x:c r="G28" s="512">
        <x:v>6548</x:v>
      </x:c>
      <x:c r="H28" s="512">
        <x:v>10090</x:v>
      </x:c>
      <x:c r="I28" s="512">
        <x:v>6425</x:v>
      </x:c>
      <x:c r="J28" s="512">
        <x:v>6781</x:v>
      </x:c>
      <x:c r="K28" s="512">
        <x:v>4003</x:v>
      </x:c>
      <x:c r="L28" s="512">
        <x:v>3887</x:v>
      </x:c>
      <x:c r="M28" s="512">
        <x:v>5112</x:v>
      </x:c>
      <x:c r="N28" s="512">
        <x:v>7189</x:v>
      </x:c>
      <x:c r="O28" s="512">
        <x:v>11432</x:v>
      </x:c>
      <x:c r="P28" s="512">
        <x:v>10949</x:v>
      </x:c>
      <x:c r="Q28" s="512">
        <x:v>13345</x:v>
      </x:c>
      <x:c r="R28" s="512">
        <x:v>9601</x:v>
      </x:c>
      <x:c r="S28" s="512">
        <x:v>1062</x:v>
      </x:c>
      <x:c r="T28" s="512">
        <x:v>7085</x:v>
      </x:c>
      <x:c r="U28" s="512">
        <x:v>3748</x:v>
      </x:c>
      <x:c r="V28" s="512">
        <x:v>6203</x:v>
      </x:c>
      <x:c r="W28" s="512">
        <x:v>7724</x:v>
      </x:c>
      <x:c r="X28" s="512">
        <x:v>5709</x:v>
      </x:c>
      <x:c r="Y28" s="512">
        <x:v>3769</x:v>
      </x:c>
      <x:c r="Z28" s="512"/>
      <x:c r="AA28" s="512"/>
      <x:c r="AB28" s="512"/>
      <x:c r="AC28" s="512"/>
      <x:c r="AD28" s="512"/>
      <x:c r="AE28" s="512"/>
      <x:c r="AF28" s="512"/>
      <x:c r="AG28" s="512"/>
      <x:c r="AH28" s="512"/>
      <x:c r="AI28" s="512"/>
      <x:c r="AJ28" s="512"/>
      <x:c r="AK28" s="512"/>
      <x:c r="AL28" s="512"/>
      <x:c r="AM28" s="512"/>
      <x:c r="AN28" s="512"/>
      <x:c r="AO28" s="514"/>
    </x:row>
    <x:row r="29" ht="19" customHeight="1">
      <x:c r="B29" s="509">
        <x:v>28</x:v>
      </x:c>
      <x:c r="C29" s="516">
        <x:v>985</x:v>
      </x:c>
      <x:c r="D29" s="515">
        <x:v>2667</x:v>
      </x:c>
      <x:c r="E29" s="515">
        <x:v>3080</x:v>
      </x:c>
      <x:c r="F29" s="515">
        <x:v>4780</x:v>
      </x:c>
      <x:c r="G29" s="512">
        <x:v>3368</x:v>
      </x:c>
      <x:c r="H29" s="512">
        <x:v>9412</x:v>
      </x:c>
      <x:c r="I29" s="512">
        <x:v>11377</x:v>
      </x:c>
      <x:c r="J29" s="512">
        <x:v>12287</x:v>
      </x:c>
      <x:c r="K29" s="512">
        <x:v>10965</x:v>
      </x:c>
      <x:c r="L29" s="512">
        <x:v>9439</x:v>
      </x:c>
      <x:c r="M29" s="512">
        <x:v>10183</x:v>
      </x:c>
      <x:c r="N29" s="512">
        <x:v>9834</x:v>
      </x:c>
      <x:c r="O29" s="512">
        <x:v>5375</x:v>
      </x:c>
      <x:c r="P29" s="512">
        <x:v>6013</x:v>
      </x:c>
      <x:c r="Q29" s="512">
        <x:v>5529</x:v>
      </x:c>
      <x:c r="R29" s="512">
        <x:v>7373</x:v>
      </x:c>
      <x:c r="S29" s="512">
        <x:v>6190</x:v>
      </x:c>
      <x:c r="T29" s="512">
        <x:v>7974</x:v>
      </x:c>
      <x:c r="U29" s="512">
        <x:v>10468</x:v>
      </x:c>
      <x:c r="V29" s="512">
        <x:v>12840</x:v>
      </x:c>
      <x:c r="W29" s="512">
        <x:v>13332</x:v>
      </x:c>
      <x:c r="X29" s="512">
        <x:v>15848</x:v>
      </x:c>
      <x:c r="Y29" s="512">
        <x:v>1722</x:v>
      </x:c>
      <x:c r="Z29" s="512"/>
      <x:c r="AA29" s="512"/>
      <x:c r="AB29" s="512"/>
      <x:c r="AC29" s="512"/>
      <x:c r="AD29" s="512"/>
      <x:c r="AE29" s="512"/>
      <x:c r="AF29" s="512"/>
      <x:c r="AG29" s="512"/>
      <x:c r="AH29" s="512"/>
      <x:c r="AI29" s="512"/>
      <x:c r="AJ29" s="512"/>
      <x:c r="AK29" s="512"/>
      <x:c r="AL29" s="512"/>
      <x:c r="AM29" s="512"/>
      <x:c r="AN29" s="512"/>
      <x:c r="AO29" s="514"/>
    </x:row>
    <x:row r="30" ht="19" customHeight="1">
      <x:c r="B30" s="509">
        <x:v>29</x:v>
      </x:c>
      <x:c r="C30" s="512">
        <x:v>9341</x:v>
      </x:c>
      <x:c r="D30" s="513">
        <x:v>16183</x:v>
      </x:c>
      <x:c r="E30" s="513">
        <x:v>19491</x:v>
      </x:c>
      <x:c r="F30" s="513">
        <x:v>26293</x:v>
      </x:c>
      <x:c r="G30" s="512">
        <x:v>31198</x:v>
      </x:c>
      <x:c r="H30" s="512">
        <x:v>38988</x:v>
      </x:c>
      <x:c r="I30" s="512">
        <x:v>19395</x:v>
      </x:c>
      <x:c r="J30" s="512">
        <x:v>19527</x:v>
      </x:c>
      <x:c r="K30" s="512">
        <x:v>14671</x:v>
      </x:c>
      <x:c r="L30" s="512">
        <x:v>17199</x:v>
      </x:c>
      <x:c r="M30" s="512">
        <x:v>11745</x:v>
      </x:c>
      <x:c r="N30" s="512">
        <x:v>11823</x:v>
      </x:c>
      <x:c r="O30" s="512">
        <x:v>12736</x:v>
      </x:c>
      <x:c r="P30" s="512">
        <x:v>9386</x:v>
      </x:c>
      <x:c r="Q30" s="512">
        <x:v>18604</x:v>
      </x:c>
      <x:c r="R30" s="512">
        <x:v>13371</x:v>
      </x:c>
      <x:c r="S30" s="512">
        <x:v>13506</x:v>
      </x:c>
      <x:c r="T30" s="512">
        <x:v>12009</x:v>
      </x:c>
      <x:c r="U30" s="512">
        <x:v>12337</x:v>
      </x:c>
      <x:c r="V30" s="512">
        <x:v>11487</x:v>
      </x:c>
      <x:c r="W30" s="512">
        <x:v>9600</x:v>
      </x:c>
      <x:c r="X30" s="512">
        <x:v>9308</x:v>
      </x:c>
      <x:c r="Y30" s="512">
        <x:v>9041</x:v>
      </x:c>
      <x:c r="Z30" s="512"/>
      <x:c r="AA30" s="512"/>
      <x:c r="AB30" s="512"/>
      <x:c r="AC30" s="512"/>
      <x:c r="AD30" s="512"/>
      <x:c r="AE30" s="512"/>
      <x:c r="AF30" s="512"/>
      <x:c r="AG30" s="512"/>
      <x:c r="AH30" s="512"/>
      <x:c r="AI30" s="512"/>
      <x:c r="AJ30" s="512"/>
      <x:c r="AK30" s="512"/>
      <x:c r="AL30" s="512"/>
      <x:c r="AM30" s="512"/>
      <x:c r="AN30" s="512"/>
      <x:c r="AO30" s="514"/>
    </x:row>
    <x:row r="31" ht="19" customHeight="1">
      <x:c r="B31" s="509">
        <x:v>30</x:v>
      </x:c>
      <x:c r="C31" s="512">
        <x:v>7066</x:v>
      </x:c>
      <x:c r="D31" s="513">
        <x:v>6109</x:v>
      </x:c>
      <x:c r="E31" s="513">
        <x:v>6941</x:v>
      </x:c>
      <x:c r="F31" s="513">
        <x:v>4899</x:v>
      </x:c>
      <x:c r="G31" s="512">
        <x:v>8027</x:v>
      </x:c>
      <x:c r="H31" s="512">
        <x:v>8473</x:v>
      </x:c>
      <x:c r="I31" s="512">
        <x:v>9894</x:v>
      </x:c>
      <x:c r="J31" s="512">
        <x:v>8933</x:v>
      </x:c>
      <x:c r="K31" s="512">
        <x:v>9038</x:v>
      </x:c>
      <x:c r="L31" s="512">
        <x:v>8569</x:v>
      </x:c>
      <x:c r="M31" s="512">
        <x:v>8727</x:v>
      </x:c>
      <x:c r="N31" s="512">
        <x:v>9435</x:v>
      </x:c>
      <x:c r="O31" s="512">
        <x:v>7884</x:v>
      </x:c>
      <x:c r="P31" s="512">
        <x:v>7139</x:v>
      </x:c>
      <x:c r="Q31" s="512">
        <x:v>8154</x:v>
      </x:c>
      <x:c r="R31" s="512">
        <x:v>8067</x:v>
      </x:c>
      <x:c r="S31" s="512">
        <x:v>9223</x:v>
      </x:c>
      <x:c r="T31" s="512">
        <x:v>5156</x:v>
      </x:c>
      <x:c r="U31" s="512">
        <x:v>7276</x:v>
      </x:c>
      <x:c r="V31" s="512">
        <x:v>9580</x:v>
      </x:c>
      <x:c r="W31" s="512">
        <x:v>7230</x:v>
      </x:c>
      <x:c r="X31" s="512">
        <x:v>11029</x:v>
      </x:c>
      <x:c r="Y31" s="512">
        <x:v>4854</x:v>
      </x:c>
      <x:c r="Z31" s="512"/>
      <x:c r="AA31" s="512"/>
      <x:c r="AB31" s="512"/>
      <x:c r="AC31" s="512"/>
      <x:c r="AD31" s="512"/>
      <x:c r="AE31" s="512"/>
      <x:c r="AF31" s="512"/>
      <x:c r="AG31" s="512"/>
      <x:c r="AH31" s="512"/>
      <x:c r="AI31" s="512"/>
      <x:c r="AJ31" s="512"/>
      <x:c r="AK31" s="512"/>
      <x:c r="AL31" s="512"/>
      <x:c r="AM31" s="512"/>
      <x:c r="AN31" s="512"/>
      <x:c r="AO31" s="514"/>
    </x:row>
    <x:row r="32" ht="19" customHeight="1">
      <x:c r="B32" s="509">
        <x:v>31</x:v>
      </x:c>
      <x:c r="C32" s="512">
        <x:v>5653</x:v>
      </x:c>
      <x:c r="D32" s="513">
        <x:v>11557</x:v>
      </x:c>
      <x:c r="E32" s="513">
        <x:v>17139</x:v>
      </x:c>
      <x:c r="F32" s="513">
        <x:v>18525</x:v>
      </x:c>
      <x:c r="G32" s="512">
        <x:v>19476</x:v>
      </x:c>
      <x:c r="H32" s="512">
        <x:v>16330</x:v>
      </x:c>
      <x:c r="I32" s="512">
        <x:v>21469</x:v>
      </x:c>
      <x:c r="J32" s="512">
        <x:v>19610</x:v>
      </x:c>
      <x:c r="K32" s="512">
        <x:v>6348</x:v>
      </x:c>
      <x:c r="L32" s="512">
        <x:v>6205</x:v>
      </x:c>
      <x:c r="M32" s="512">
        <x:v>5217</x:v>
      </x:c>
      <x:c r="N32" s="512">
        <x:v>10999</x:v>
      </x:c>
      <x:c r="O32" s="512">
        <x:v>11772</x:v>
      </x:c>
      <x:c r="P32" s="512">
        <x:v>6248</x:v>
      </x:c>
      <x:c r="Q32" s="512">
        <x:v>11004</x:v>
      </x:c>
      <x:c r="R32" s="512">
        <x:v>7241</x:v>
      </x:c>
      <x:c r="S32" s="512">
        <x:v>15085</x:v>
      </x:c>
      <x:c r="T32" s="512">
        <x:v>6896</x:v>
      </x:c>
      <x:c r="U32" s="512">
        <x:v>6560</x:v>
      </x:c>
      <x:c r="V32" s="512">
        <x:v>6162</x:v>
      </x:c>
      <x:c r="W32" s="512">
        <x:v>5981</x:v>
      </x:c>
      <x:c r="X32" s="512">
        <x:v>7620</x:v>
      </x:c>
      <x:c r="Y32" s="512">
        <x:v>3589</x:v>
      </x:c>
      <x:c r="Z32" s="512"/>
      <x:c r="AA32" s="512"/>
      <x:c r="AB32" s="512"/>
      <x:c r="AC32" s="512"/>
      <x:c r="AD32" s="512"/>
      <x:c r="AE32" s="512"/>
      <x:c r="AF32" s="512"/>
      <x:c r="AG32" s="512"/>
      <x:c r="AH32" s="512"/>
      <x:c r="AI32" s="512"/>
      <x:c r="AJ32" s="512"/>
      <x:c r="AK32" s="512"/>
      <x:c r="AL32" s="512"/>
      <x:c r="AM32" s="512"/>
      <x:c r="AN32" s="512"/>
      <x:c r="AO32" s="514"/>
    </x:row>
    <x:row r="33" ht="19" customHeight="1">
      <x:c r="B33" s="509">
        <x:v>32</x:v>
      </x:c>
      <x:c r="C33" s="512">
        <x:v>5339</x:v>
      </x:c>
      <x:c r="D33" s="515">
        <x:v>3662</x:v>
      </x:c>
      <x:c r="E33" s="513">
        <x:v>6121</x:v>
      </x:c>
      <x:c r="F33" s="513">
        <x:v>5984</x:v>
      </x:c>
      <x:c r="G33" s="512">
        <x:v>7233</x:v>
      </x:c>
      <x:c r="H33" s="512">
        <x:v>6462</x:v>
      </x:c>
      <x:c r="I33" s="512">
        <x:v>6451</x:v>
      </x:c>
      <x:c r="J33" s="512">
        <x:v>8205</x:v>
      </x:c>
      <x:c r="K33" s="512">
        <x:v>9118</x:v>
      </x:c>
      <x:c r="L33" s="512">
        <x:v>9757</x:v>
      </x:c>
      <x:c r="M33" s="512">
        <x:v>10319</x:v>
      </x:c>
      <x:c r="N33" s="512">
        <x:v>11977</x:v>
      </x:c>
      <x:c r="O33" s="512">
        <x:v>11357</x:v>
      </x:c>
      <x:c r="P33" s="512">
        <x:v>9525</x:v>
      </x:c>
      <x:c r="Q33" s="517">
        <x:v>9110</x:v>
      </x:c>
      <x:c r="R33" s="517">
        <x:v>7858</x:v>
      </x:c>
      <x:c r="S33" s="517">
        <x:v>10131</x:v>
      </x:c>
      <x:c r="T33" s="517">
        <x:v>7275</x:v>
      </x:c>
      <x:c r="U33" s="517">
        <x:v>6909</x:v>
      </x:c>
      <x:c r="V33" s="512">
        <x:v>6028</x:v>
      </x:c>
      <x:c r="W33" s="512">
        <x:v>6065</x:v>
      </x:c>
      <x:c r="X33" s="512">
        <x:v>6439</x:v>
      </x:c>
      <x:c r="Y33" s="512">
        <x:v>3516</x:v>
      </x:c>
      <x:c r="Z33" s="512"/>
      <x:c r="AA33" s="512"/>
      <x:c r="AB33" s="512"/>
      <x:c r="AC33" s="512"/>
      <x:c r="AD33" s="512"/>
      <x:c r="AE33" s="512"/>
      <x:c r="AF33" s="512"/>
      <x:c r="AG33" s="512"/>
      <x:c r="AH33" s="512"/>
      <x:c r="AI33" s="512"/>
      <x:c r="AJ33" s="512"/>
      <x:c r="AK33" s="512"/>
      <x:c r="AL33" s="512"/>
      <x:c r="AM33" s="512"/>
      <x:c r="AN33" s="512"/>
      <x:c r="AO33" s="514"/>
    </x:row>
    <x:row r="34" ht="19" customHeight="1">
      <x:c r="B34" s="509">
        <x:v>33</x:v>
      </x:c>
      <x:c r="C34" s="512">
        <x:v>20296</x:v>
      </x:c>
      <x:c r="D34" s="513">
        <x:v>17328</x:v>
      </x:c>
      <x:c r="E34" s="513">
        <x:v>17345</x:v>
      </x:c>
      <x:c r="F34" s="513">
        <x:v>8856</x:v>
      </x:c>
      <x:c r="G34" s="512">
        <x:v>12105</x:v>
      </x:c>
      <x:c r="H34" s="512">
        <x:v>13413</x:v>
      </x:c>
      <x:c r="I34" s="512">
        <x:v>15010</x:v>
      </x:c>
      <x:c r="J34" s="512">
        <x:v>8356</x:v>
      </x:c>
      <x:c r="K34" s="512">
        <x:v>5801</x:v>
      </x:c>
      <x:c r="L34" s="512">
        <x:v>6402</x:v>
      </x:c>
      <x:c r="M34" s="512">
        <x:v>6950</x:v>
      </x:c>
      <x:c r="N34" s="512">
        <x:v>7766</x:v>
      </x:c>
      <x:c r="O34" s="512">
        <x:v>4972</x:v>
      </x:c>
      <x:c r="P34" s="512">
        <x:v>4293</x:v>
      </x:c>
      <x:c r="Q34" s="517">
        <x:v>3364</x:v>
      </x:c>
      <x:c r="R34" s="517">
        <x:v>6054</x:v>
      </x:c>
      <x:c r="S34" s="517">
        <x:v>6718</x:v>
      </x:c>
      <x:c r="T34" s="517">
        <x:v>6619</x:v>
      </x:c>
      <x:c r="U34" s="517">
        <x:v>8256</x:v>
      </x:c>
      <x:c r="V34" s="512">
        <x:v>7306</x:v>
      </x:c>
      <x:c r="W34" s="512">
        <x:v>9565</x:v>
      </x:c>
      <x:c r="X34" s="512">
        <x:v>9133</x:v>
      </x:c>
      <x:c r="Y34" s="512">
        <x:v>6050</x:v>
      </x:c>
      <x:c r="Z34" s="512"/>
      <x:c r="AA34" s="512"/>
      <x:c r="AB34" s="512"/>
      <x:c r="AC34" s="512"/>
      <x:c r="AD34" s="512"/>
      <x:c r="AE34" s="512"/>
      <x:c r="AF34" s="512"/>
      <x:c r="AG34" s="512"/>
      <x:c r="AH34" s="512"/>
      <x:c r="AI34" s="512"/>
      <x:c r="AJ34" s="512"/>
      <x:c r="AK34" s="512"/>
      <x:c r="AL34" s="512"/>
      <x:c r="AM34" s="512"/>
      <x:c r="AN34" s="512"/>
      <x:c r="AO34" s="514"/>
    </x:row>
    <x:row r="35" ht="19" customHeight="1">
      <x:c r="B35" s="509">
        <x:v>34</x:v>
      </x:c>
      <x:c r="C35" s="512">
        <x:v>7215</x:v>
      </x:c>
      <x:c r="D35" s="515">
        <x:v>4474</x:v>
      </x:c>
      <x:c r="E35" s="513">
        <x:v>6802</x:v>
      </x:c>
      <x:c r="F35" s="513">
        <x:v>5237</x:v>
      </x:c>
      <x:c r="G35" s="512">
        <x:v>12533</x:v>
      </x:c>
      <x:c r="H35" s="512">
        <x:v>8689</x:v>
      </x:c>
      <x:c r="I35" s="512">
        <x:v>7518</x:v>
      </x:c>
      <x:c r="J35" s="512">
        <x:v>6225</x:v>
      </x:c>
      <x:c r="K35" s="512">
        <x:v>4678</x:v>
      </x:c>
      <x:c r="L35" s="512">
        <x:v>504</x:v>
      </x:c>
      <x:c r="M35" s="512">
        <x:v>2662</x:v>
      </x:c>
      <x:c r="N35" s="512">
        <x:v>1350</x:v>
      </x:c>
      <x:c r="O35" s="512">
        <x:v>6503</x:v>
      </x:c>
      <x:c r="P35" s="512">
        <x:v>6283</x:v>
      </x:c>
      <x:c r="Q35" s="517">
        <x:v>6428</x:v>
      </x:c>
      <x:c r="R35" s="517">
        <x:v>6486</x:v>
      </x:c>
      <x:c r="S35" s="517">
        <x:v>6367</x:v>
      </x:c>
      <x:c r="T35" s="517">
        <x:v>6850</x:v>
      </x:c>
      <x:c r="U35" s="517">
        <x:v>6304</x:v>
      </x:c>
      <x:c r="V35" s="512">
        <x:v>6014</x:v>
      </x:c>
      <x:c r="W35" s="512">
        <x:v>6073</x:v>
      </x:c>
      <x:c r="X35" s="512">
        <x:v>6200</x:v>
      </x:c>
      <x:c r="Y35" s="512">
        <x:v>4001</x:v>
      </x:c>
      <x:c r="Z35" s="512"/>
      <x:c r="AA35" s="512"/>
      <x:c r="AB35" s="512"/>
      <x:c r="AC35" s="512"/>
      <x:c r="AD35" s="512"/>
      <x:c r="AE35" s="512"/>
      <x:c r="AF35" s="512"/>
      <x:c r="AG35" s="512"/>
      <x:c r="AH35" s="512"/>
      <x:c r="AI35" s="512"/>
      <x:c r="AJ35" s="512"/>
      <x:c r="AK35" s="512"/>
      <x:c r="AL35" s="512"/>
      <x:c r="AM35" s="512"/>
      <x:c r="AN35" s="512"/>
      <x:c r="AO35" s="514"/>
    </x:row>
    <x:row r="36" ht="19" customHeight="1">
      <x:c r="B36" s="509">
        <x:v>35</x:v>
      </x:c>
      <x:c r="C36" s="512">
        <x:v>5313</x:v>
      </x:c>
      <x:c r="D36" s="515">
        <x:v>2827</x:v>
      </x:c>
      <x:c r="E36" s="513">
        <x:v>6129</x:v>
      </x:c>
      <x:c r="F36" s="513">
        <x:v>5431</x:v>
      </x:c>
      <x:c r="G36" s="512">
        <x:v>7440</x:v>
      </x:c>
      <x:c r="H36" s="512">
        <x:v>7348</x:v>
      </x:c>
      <x:c r="I36" s="512">
        <x:v>5706</x:v>
      </x:c>
      <x:c r="J36" s="512">
        <x:v>6112</x:v>
      </x:c>
      <x:c r="K36" s="512">
        <x:v>6347</x:v>
      </x:c>
      <x:c r="L36" s="512">
        <x:v>6082</x:v>
      </x:c>
      <x:c r="M36" s="512">
        <x:v>6286</x:v>
      </x:c>
      <x:c r="N36" s="512">
        <x:v>6255</x:v>
      </x:c>
      <x:c r="O36" s="512">
        <x:v>6196</x:v>
      </x:c>
      <x:c r="P36" s="512">
        <x:v>4618</x:v>
      </x:c>
      <x:c r="Q36" s="517">
        <x:v>3797</x:v>
      </x:c>
      <x:c r="R36" s="517">
        <x:v>6368</x:v>
      </x:c>
      <x:c r="S36" s="517">
        <x:v>6673</x:v>
      </x:c>
      <x:c r="T36" s="517">
        <x:v>9263</x:v>
      </x:c>
      <x:c r="U36" s="517">
        <x:v>7505</x:v>
      </x:c>
      <x:c r="V36" s="512">
        <x:v>5195</x:v>
      </x:c>
      <x:c r="W36" s="512">
        <x:v>6050</x:v>
      </x:c>
      <x:c r="X36" s="512">
        <x:v>6013</x:v>
      </x:c>
      <x:c r="Y36" s="512">
        <x:v>2432</x:v>
      </x:c>
      <x:c r="Z36" s="512"/>
      <x:c r="AA36" s="512"/>
      <x:c r="AB36" s="512"/>
      <x:c r="AC36" s="512"/>
      <x:c r="AD36" s="512"/>
      <x:c r="AE36" s="512"/>
      <x:c r="AF36" s="512"/>
      <x:c r="AG36" s="512"/>
      <x:c r="AH36" s="512"/>
      <x:c r="AI36" s="512"/>
      <x:c r="AJ36" s="512"/>
      <x:c r="AK36" s="512"/>
      <x:c r="AL36" s="512"/>
      <x:c r="AM36" s="512"/>
      <x:c r="AN36" s="512"/>
      <x:c r="AO36" s="514"/>
    </x:row>
    <x:row r="37" ht="19" customHeight="1">
      <x:c r="B37" s="509">
        <x:v>36</x:v>
      </x:c>
      <x:c r="C37" s="516">
        <x:v>3170</x:v>
      </x:c>
      <x:c r="D37" s="515">
        <x:v>1683</x:v>
      </x:c>
      <x:c r="E37" s="513">
        <x:v>6682</x:v>
      </x:c>
      <x:c r="F37" s="515">
        <x:v>3972</x:v>
      </x:c>
      <x:c r="G37" s="512">
        <x:v>7936</x:v>
      </x:c>
      <x:c r="H37" s="512">
        <x:v>9214</x:v>
      </x:c>
      <x:c r="I37" s="512">
        <x:v>9129</x:v>
      </x:c>
      <x:c r="J37" s="512">
        <x:v>8229</x:v>
      </x:c>
      <x:c r="K37" s="512">
        <x:v>6039</x:v>
      </x:c>
      <x:c r="L37" s="512">
        <x:v>6048</x:v>
      </x:c>
      <x:c r="M37" s="512">
        <x:v>6178</x:v>
      </x:c>
      <x:c r="N37" s="512">
        <x:v>6525</x:v>
      </x:c>
      <x:c r="O37" s="512">
        <x:v>7252</x:v>
      </x:c>
      <x:c r="P37" s="512">
        <x:v>5866</x:v>
      </x:c>
      <x:c r="Q37" s="517">
        <x:v>6525</x:v>
      </x:c>
      <x:c r="R37" s="517">
        <x:v>6474</x:v>
      </x:c>
      <x:c r="S37" s="517">
        <x:v>8366</x:v>
      </x:c>
      <x:c r="T37" s="517">
        <x:v>6206</x:v>
      </x:c>
      <x:c r="U37" s="517">
        <x:v>11182</x:v>
      </x:c>
      <x:c r="V37" s="512">
        <x:v>6145</x:v>
      </x:c>
      <x:c r="W37" s="512">
        <x:v>4111</x:v>
      </x:c>
      <x:c r="X37" s="512">
        <x:v>2956</x:v>
      </x:c>
      <x:c r="Y37" s="512">
        <x:v>298</x:v>
      </x:c>
      <x:c r="Z37" s="512"/>
      <x:c r="AA37" s="512"/>
      <x:c r="AB37" s="512"/>
      <x:c r="AC37" s="512"/>
      <x:c r="AD37" s="512"/>
      <x:c r="AE37" s="512"/>
      <x:c r="AF37" s="512"/>
      <x:c r="AG37" s="512"/>
      <x:c r="AH37" s="512"/>
      <x:c r="AI37" s="512"/>
      <x:c r="AJ37" s="512"/>
      <x:c r="AK37" s="512"/>
      <x:c r="AL37" s="512"/>
      <x:c r="AM37" s="512"/>
      <x:c r="AN37" s="512"/>
      <x:c r="AO37" s="514"/>
    </x:row>
    <x:row r="38" ht="19" customHeight="1">
      <x:c r="B38" s="509">
        <x:v>37</x:v>
      </x:c>
      <x:c r="C38" s="512">
        <x:v>6138</x:v>
      </x:c>
      <x:c r="D38" s="513">
        <x:v>8415</x:v>
      </x:c>
      <x:c r="E38" s="513">
        <x:v>9280</x:v>
      </x:c>
      <x:c r="F38" s="513">
        <x:v>10268</x:v>
      </x:c>
      <x:c r="G38" s="512">
        <x:v>12058</x:v>
      </x:c>
      <x:c r="H38" s="512">
        <x:v>10301</x:v>
      </x:c>
      <x:c r="I38" s="512">
        <x:v>10200</x:v>
      </x:c>
      <x:c r="J38" s="512">
        <x:v>8867</x:v>
      </x:c>
      <x:c r="K38" s="512">
        <x:v>13011</x:v>
      </x:c>
      <x:c r="L38" s="512">
        <x:v>8007</x:v>
      </x:c>
      <x:c r="M38" s="512">
        <x:v>6928</x:v>
      </x:c>
      <x:c r="N38" s="512">
        <x:v>6215</x:v>
      </x:c>
      <x:c r="O38" s="512">
        <x:v>6036</x:v>
      </x:c>
      <x:c r="P38" s="512">
        <x:v>6087</x:v>
      </x:c>
      <x:c r="Q38" s="517">
        <x:v>6018</x:v>
      </x:c>
      <x:c r="R38" s="517">
        <x:v>6017</x:v>
      </x:c>
      <x:c r="S38" s="517">
        <x:v>6018</x:v>
      </x:c>
      <x:c r="T38" s="517">
        <x:v>6009</x:v>
      </x:c>
      <x:c r="U38" s="517">
        <x:v>6004</x:v>
      </x:c>
      <x:c r="V38" s="512">
        <x:v>1136</x:v>
      </x:c>
      <x:c r="W38" s="512">
        <x:v>6033</x:v>
      </x:c>
      <x:c r="X38" s="512">
        <x:v>6022</x:v>
      </x:c>
      <x:c r="Y38" s="512">
        <x:v>2050</x:v>
      </x:c>
      <x:c r="Z38" s="512"/>
      <x:c r="AA38" s="512"/>
      <x:c r="AB38" s="512"/>
      <x:c r="AC38" s="512"/>
      <x:c r="AD38" s="512"/>
      <x:c r="AE38" s="512"/>
      <x:c r="AF38" s="512"/>
      <x:c r="AG38" s="512"/>
      <x:c r="AH38" s="512"/>
      <x:c r="AI38" s="512"/>
      <x:c r="AJ38" s="512"/>
      <x:c r="AK38" s="512"/>
      <x:c r="AL38" s="512"/>
      <x:c r="AM38" s="512"/>
      <x:c r="AN38" s="512"/>
      <x:c r="AO38" s="514"/>
    </x:row>
    <x:row r="39" ht="19" customHeight="1">
      <x:c r="B39" s="509">
        <x:v>38</x:v>
      </x:c>
      <x:c r="C39" s="512">
        <x:v>7380</x:v>
      </x:c>
      <x:c r="D39" s="513">
        <x:v>5870</x:v>
      </x:c>
      <x:c r="E39" s="513">
        <x:v>7357</x:v>
      </x:c>
      <x:c r="F39" s="513">
        <x:v>7059</x:v>
      </x:c>
      <x:c r="G39" s="512">
        <x:v>6774</x:v>
      </x:c>
      <x:c r="H39" s="512">
        <x:v>9321</x:v>
      </x:c>
      <x:c r="I39" s="512">
        <x:v>8550</x:v>
      </x:c>
      <x:c r="J39" s="512">
        <x:v>10335</x:v>
      </x:c>
      <x:c r="K39" s="512">
        <x:v>10277</x:v>
      </x:c>
      <x:c r="L39" s="512">
        <x:v>8131</x:v>
      </x:c>
      <x:c r="M39" s="512">
        <x:v>7797</x:v>
      </x:c>
      <x:c r="N39" s="512">
        <x:v>7310</x:v>
      </x:c>
      <x:c r="O39" s="512">
        <x:v>5537</x:v>
      </x:c>
      <x:c r="P39" s="512">
        <x:v>5078</x:v>
      </x:c>
      <x:c r="Q39" s="517">
        <x:v>5642</x:v>
      </x:c>
      <x:c r="R39" s="517">
        <x:v>5760</x:v>
      </x:c>
      <x:c r="S39" s="517">
        <x:v>7817</x:v>
      </x:c>
      <x:c r="T39" s="517">
        <x:v>6181</x:v>
      </x:c>
      <x:c r="U39" s="518">
        <x:v>5137</x:v>
      </x:c>
      <x:c r="V39" s="512">
        <x:v>4505</x:v>
      </x:c>
      <x:c r="W39" s="512">
        <x:v>6647</x:v>
      </x:c>
      <x:c r="X39" s="512">
        <x:v>7668</x:v>
      </x:c>
      <x:c r="Y39" s="512">
        <x:v>3531</x:v>
      </x:c>
      <x:c r="Z39" s="512"/>
      <x:c r="AA39" s="512"/>
      <x:c r="AB39" s="512"/>
      <x:c r="AC39" s="512"/>
      <x:c r="AD39" s="512"/>
      <x:c r="AE39" s="512"/>
      <x:c r="AF39" s="512"/>
      <x:c r="AG39" s="512"/>
      <x:c r="AH39" s="512"/>
      <x:c r="AI39" s="512"/>
      <x:c r="AJ39" s="512"/>
      <x:c r="AK39" s="512"/>
      <x:c r="AL39" s="512"/>
      <x:c r="AM39" s="512"/>
      <x:c r="AN39" s="512"/>
      <x:c r="AO39" s="514"/>
    </x:row>
    <x:row r="40" ht="19" customHeight="1">
      <x:c r="B40" s="509">
        <x:v>39</x:v>
      </x:c>
      <x:c r="C40" s="512">
        <x:v>22020</x:v>
      </x:c>
      <x:c r="D40" s="513">
        <x:v>16879</x:v>
      </x:c>
      <x:c r="E40" s="513">
        <x:v>32395</x:v>
      </x:c>
      <x:c r="F40" s="513">
        <x:v>19591</x:v>
      </x:c>
      <x:c r="G40" s="512">
        <x:v>27265</x:v>
      </x:c>
      <x:c r="H40" s="512">
        <x:v>26226</x:v>
      </x:c>
      <x:c r="I40" s="512">
        <x:v>11992</x:v>
      </x:c>
      <x:c r="J40" s="512">
        <x:v>8425</x:v>
      </x:c>
      <x:c r="K40" s="512">
        <x:v>2539</x:v>
      </x:c>
      <x:c r="L40" s="512">
        <x:v>9558</x:v>
      </x:c>
      <x:c r="M40" s="512">
        <x:v>21606</x:v>
      </x:c>
      <x:c r="N40" s="512">
        <x:v>1710</x:v>
      </x:c>
      <x:c r="O40" s="512">
        <x:v>5215</x:v>
      </x:c>
      <x:c r="P40" s="512">
        <x:v>2755</x:v>
      </x:c>
      <x:c r="Q40" s="517">
        <x:v>3752</x:v>
      </x:c>
      <x:c r="R40" s="517">
        <x:v>2856</x:v>
      </x:c>
      <x:c r="S40" s="517">
        <x:v>6165</x:v>
      </x:c>
      <x:c r="T40" s="517">
        <x:v>3868</x:v>
      </x:c>
      <x:c r="U40" s="517">
        <x:v>6156</x:v>
      </x:c>
      <x:c r="V40" s="512">
        <x:v>7151</x:v>
      </x:c>
      <x:c r="W40" s="512">
        <x:v>7882</x:v>
      </x:c>
      <x:c r="X40" s="512">
        <x:v>936</x:v>
      </x:c>
      <x:c r="Y40" s="512">
        <x:v>2856</x:v>
      </x:c>
      <x:c r="Z40" s="512"/>
      <x:c r="AA40" s="512"/>
      <x:c r="AB40" s="512"/>
      <x:c r="AC40" s="512"/>
      <x:c r="AD40" s="512"/>
      <x:c r="AE40" s="512"/>
      <x:c r="AF40" s="512"/>
      <x:c r="AG40" s="512"/>
      <x:c r="AH40" s="512"/>
      <x:c r="AI40" s="512"/>
      <x:c r="AJ40" s="512"/>
      <x:c r="AK40" s="512"/>
      <x:c r="AL40" s="512"/>
      <x:c r="AM40" s="512"/>
      <x:c r="AN40" s="512"/>
      <x:c r="AO40" s="514"/>
    </x:row>
    <x:row r="41" ht="19" customHeight="1">
      <x:c r="B41" s="509">
        <x:v>40</x:v>
      </x:c>
      <x:c r="C41" s="512">
        <x:v>4835</x:v>
      </x:c>
      <x:c r="D41" s="515">
        <x:v>4753</x:v>
      </x:c>
      <x:c r="E41" s="513">
        <x:v>7164</x:v>
      </x:c>
      <x:c r="F41" s="513">
        <x:v>6072</x:v>
      </x:c>
      <x:c r="G41" s="512">
        <x:v>8504</x:v>
      </x:c>
      <x:c r="H41" s="512">
        <x:v>9779</x:v>
      </x:c>
      <x:c r="I41" s="512">
        <x:v>8128</x:v>
      </x:c>
      <x:c r="J41" s="512">
        <x:v>7885</x:v>
      </x:c>
      <x:c r="K41" s="512">
        <x:v>11978</x:v>
      </x:c>
      <x:c r="L41" s="512">
        <x:v>7782</x:v>
      </x:c>
      <x:c r="M41" s="512">
        <x:v>6002</x:v>
      </x:c>
      <x:c r="N41" s="512">
        <x:v>6035</x:v>
      </x:c>
      <x:c r="O41" s="512">
        <x:v>6001</x:v>
      </x:c>
      <x:c r="P41" s="512">
        <x:v>6010</x:v>
      </x:c>
      <x:c r="Q41" s="517">
        <x:v>6046</x:v>
      </x:c>
      <x:c r="R41" s="517">
        <x:v>5274</x:v>
      </x:c>
      <x:c r="S41" s="517">
        <x:v>6035</x:v>
      </x:c>
      <x:c r="T41" s="517">
        <x:v>6011</x:v>
      </x:c>
      <x:c r="U41" s="518">
        <x:v>6045</x:v>
      </x:c>
      <x:c r="V41" s="512">
        <x:v>6325</x:v>
      </x:c>
      <x:c r="W41" s="512">
        <x:v>6178</x:v>
      </x:c>
      <x:c r="X41" s="512">
        <x:v>6061</x:v>
      </x:c>
      <x:c r="Y41" s="512">
        <x:v>1354</x:v>
      </x:c>
      <x:c r="Z41" s="512"/>
      <x:c r="AA41" s="512"/>
      <x:c r="AB41" s="512"/>
      <x:c r="AC41" s="512"/>
      <x:c r="AD41" s="512"/>
      <x:c r="AE41" s="512"/>
      <x:c r="AF41" s="512"/>
      <x:c r="AG41" s="512"/>
      <x:c r="AH41" s="512"/>
      <x:c r="AI41" s="512"/>
      <x:c r="AJ41" s="512"/>
      <x:c r="AK41" s="512"/>
      <x:c r="AL41" s="512"/>
      <x:c r="AM41" s="512"/>
      <x:c r="AN41" s="512"/>
      <x:c r="AO41" s="514"/>
    </x:row>
    <x:row r="42" ht="19" customHeight="1">
      <x:c r="B42" s="509">
        <x:v>41</x:v>
      </x:c>
      <x:c r="C42" s="512">
        <x:v>5285</x:v>
      </x:c>
      <x:c r="D42" s="513">
        <x:v>4874</x:v>
      </x:c>
      <x:c r="E42" s="513">
        <x:v>5771</x:v>
      </x:c>
      <x:c r="F42" s="513">
        <x:v>5916</x:v>
      </x:c>
      <x:c r="G42" s="512">
        <x:v>11292</x:v>
      </x:c>
      <x:c r="H42" s="512">
        <x:v>5786</x:v>
      </x:c>
      <x:c r="I42" s="512">
        <x:v>7381</x:v>
      </x:c>
      <x:c r="J42" s="512">
        <x:v>9530</x:v>
      </x:c>
      <x:c r="K42" s="512">
        <x:v>8188</x:v>
      </x:c>
      <x:c r="L42" s="512">
        <x:v>8100</x:v>
      </x:c>
      <x:c r="M42" s="512">
        <x:v>10123</x:v>
      </x:c>
      <x:c r="N42" s="512">
        <x:v>7371</x:v>
      </x:c>
      <x:c r="O42" s="512">
        <x:v>10417</x:v>
      </x:c>
      <x:c r="P42" s="512">
        <x:v>6357</x:v>
      </x:c>
      <x:c r="Q42" s="517">
        <x:v>9795</x:v>
      </x:c>
      <x:c r="R42" s="517">
        <x:v>8820</x:v>
      </x:c>
      <x:c r="S42" s="517">
        <x:v>10782</x:v>
      </x:c>
      <x:c r="T42" s="517">
        <x:v>7193</x:v>
      </x:c>
      <x:c r="U42" s="518">
        <x:v>3511</x:v>
      </x:c>
      <x:c r="V42" s="512">
        <x:v>8023</x:v>
      </x:c>
      <x:c r="W42" s="512">
        <x:v>5124</x:v>
      </x:c>
      <x:c r="X42" s="512">
        <x:v>4485</x:v>
      </x:c>
      <x:c r="Y42" s="512">
        <x:v>8567</x:v>
      </x:c>
      <x:c r="Z42" s="512"/>
      <x:c r="AA42" s="512"/>
      <x:c r="AB42" s="512"/>
      <x:c r="AC42" s="512"/>
      <x:c r="AD42" s="512"/>
      <x:c r="AE42" s="512"/>
      <x:c r="AF42" s="512"/>
      <x:c r="AG42" s="512"/>
      <x:c r="AH42" s="512"/>
      <x:c r="AI42" s="512"/>
      <x:c r="AJ42" s="512"/>
      <x:c r="AK42" s="512"/>
      <x:c r="AL42" s="512"/>
      <x:c r="AM42" s="512"/>
      <x:c r="AN42" s="512"/>
      <x:c r="AO42" s="514"/>
    </x:row>
    <x:row r="43" ht="19" customHeight="1">
      <x:c r="B43" s="509">
        <x:v>42</x:v>
      </x:c>
      <x:c r="C43" s="516">
        <x:v>3297</x:v>
      </x:c>
      <x:c r="D43" s="515">
        <x:v>4232</x:v>
      </x:c>
      <x:c r="E43" s="513">
        <x:v>6325</x:v>
      </x:c>
      <x:c r="F43" s="515">
        <x:v>4749</x:v>
      </x:c>
      <x:c r="G43" s="512">
        <x:v>6093</x:v>
      </x:c>
      <x:c r="H43" s="512">
        <x:v>6906</x:v>
      </x:c>
      <x:c r="I43" s="512">
        <x:v>6736</x:v>
      </x:c>
      <x:c r="J43" s="512">
        <x:v>6766</x:v>
      </x:c>
      <x:c r="K43" s="512">
        <x:v>5616</x:v>
      </x:c>
      <x:c r="L43" s="512">
        <x:v>6138</x:v>
      </x:c>
      <x:c r="M43" s="512">
        <x:v>8645</x:v>
      </x:c>
      <x:c r="N43" s="512">
        <x:v>8354</x:v>
      </x:c>
      <x:c r="O43" s="512">
        <x:v>8934</x:v>
      </x:c>
      <x:c r="P43" s="512">
        <x:v>4055</x:v>
      </x:c>
      <x:c r="Q43" s="517">
        <x:v>2824</x:v>
      </x:c>
      <x:c r="R43" s="517">
        <x:v>6023</x:v>
      </x:c>
      <x:c r="S43" s="517">
        <x:v>3035</x:v>
      </x:c>
      <x:c r="T43" s="517">
        <x:v>647</x:v>
      </x:c>
      <x:c r="U43" s="517">
        <x:v>0</x:v>
      </x:c>
      <x:c r="V43" s="512">
        <x:v>3011</x:v>
      </x:c>
      <x:c r="W43" s="512">
        <x:v>2338</x:v>
      </x:c>
      <x:c r="X43" s="512">
        <x:v>1216</x:v>
      </x:c>
      <x:c r="Y43" s="512">
        <x:v>2198</x:v>
      </x:c>
      <x:c r="Z43" s="512"/>
      <x:c r="AA43" s="512"/>
      <x:c r="AB43" s="512"/>
      <x:c r="AC43" s="512"/>
      <x:c r="AD43" s="512"/>
      <x:c r="AE43" s="512"/>
      <x:c r="AF43" s="512"/>
      <x:c r="AG43" s="512"/>
      <x:c r="AH43" s="512"/>
      <x:c r="AI43" s="512"/>
      <x:c r="AJ43" s="512"/>
      <x:c r="AK43" s="512"/>
      <x:c r="AL43" s="512"/>
      <x:c r="AM43" s="512"/>
      <x:c r="AN43" s="512"/>
      <x:c r="AO43" s="514"/>
    </x:row>
    <x:row r="44" ht="19" customHeight="1">
      <x:c r="B44" s="509">
        <x:v>43</x:v>
      </x:c>
      <x:c r="C44" s="512">
        <x:v>5402</x:v>
      </x:c>
      <x:c r="D44" s="515">
        <x:v>4041</x:v>
      </x:c>
      <x:c r="E44" s="513">
        <x:v>7266</x:v>
      </x:c>
      <x:c r="F44" s="513">
        <x:v>5390</x:v>
      </x:c>
      <x:c r="G44" s="512">
        <x:v>6457</x:v>
      </x:c>
      <x:c r="H44" s="512">
        <x:v>9807</x:v>
      </x:c>
      <x:c r="I44" s="512">
        <x:v>6012</x:v>
      </x:c>
      <x:c r="J44" s="512">
        <x:v>8222</x:v>
      </x:c>
      <x:c r="K44" s="512">
        <x:v>9497</x:v>
      </x:c>
      <x:c r="L44" s="512">
        <x:v>8087</x:v>
      </x:c>
      <x:c r="M44" s="512">
        <x:v>8757</x:v>
      </x:c>
      <x:c r="N44" s="512">
        <x:v>8900</x:v>
      </x:c>
      <x:c r="O44" s="512">
        <x:v>7145</x:v>
      </x:c>
      <x:c r="P44" s="512">
        <x:v>6166</x:v>
      </x:c>
      <x:c r="Q44" s="517">
        <x:v>6712</x:v>
      </x:c>
      <x:c r="R44" s="517">
        <x:v>8538</x:v>
      </x:c>
      <x:c r="S44" s="517">
        <x:v>8036</x:v>
      </x:c>
      <x:c r="T44" s="517">
        <x:v>6011</x:v>
      </x:c>
      <x:c r="U44" s="517">
        <x:v>2738</x:v>
      </x:c>
      <x:c r="V44" s="512">
        <x:v>6303</x:v>
      </x:c>
      <x:c r="W44" s="512">
        <x:v>2778</x:v>
      </x:c>
      <x:c r="X44" s="512">
        <x:v>3926</x:v>
      </x:c>
      <x:c r="Y44" s="512">
        <x:v>3632</x:v>
      </x:c>
      <x:c r="Z44" s="512"/>
      <x:c r="AA44" s="512"/>
      <x:c r="AB44" s="512"/>
      <x:c r="AC44" s="512"/>
      <x:c r="AD44" s="512"/>
      <x:c r="AE44" s="512"/>
      <x:c r="AF44" s="512"/>
      <x:c r="AG44" s="512"/>
      <x:c r="AH44" s="512"/>
      <x:c r="AI44" s="512"/>
      <x:c r="AJ44" s="512"/>
      <x:c r="AK44" s="512"/>
      <x:c r="AL44" s="512"/>
      <x:c r="AM44" s="512"/>
      <x:c r="AN44" s="512"/>
      <x:c r="AO44" s="514"/>
    </x:row>
    <x:row r="45" ht="19" customHeight="1">
      <x:c r="B45" s="509">
        <x:v>44</x:v>
      </x:c>
      <x:c r="C45" s="512">
        <x:v>8510</x:v>
      </x:c>
      <x:c r="D45" s="513">
        <x:v>9014</x:v>
      </x:c>
      <x:c r="E45" s="513">
        <x:v>13569</x:v>
      </x:c>
      <x:c r="F45" s="513">
        <x:v>17435</x:v>
      </x:c>
      <x:c r="G45" s="512">
        <x:v>12202</x:v>
      </x:c>
      <x:c r="H45" s="512">
        <x:v>13100</x:v>
      </x:c>
      <x:c r="I45" s="512">
        <x:v>11699</x:v>
      </x:c>
      <x:c r="J45" s="512">
        <x:v>8174</x:v>
      </x:c>
      <x:c r="K45" s="512">
        <x:v>12723</x:v>
      </x:c>
      <x:c r="L45" s="512">
        <x:v>2823</x:v>
      </x:c>
      <x:c r="M45" s="512">
        <x:v>17</x:v>
      </x:c>
      <x:c r="N45" s="512">
        <x:v>997</x:v>
      </x:c>
      <x:c r="O45" s="512">
        <x:v>4646</x:v>
      </x:c>
      <x:c r="P45" s="512">
        <x:v>3363</x:v>
      </x:c>
      <x:c r="Q45" s="517">
        <x:v>718</x:v>
      </x:c>
      <x:c r="R45" s="517">
        <x:v>2480</x:v>
      </x:c>
      <x:c r="S45" s="517">
        <x:v>5670</x:v>
      </x:c>
      <x:c r="T45" s="517">
        <x:v>4515</x:v>
      </x:c>
      <x:c r="U45" s="517">
        <x:v>3328</x:v>
      </x:c>
      <x:c r="V45" s="512">
        <x:v>3432</x:v>
      </x:c>
      <x:c r="W45" s="512">
        <x:v>2048</x:v>
      </x:c>
      <x:c r="X45" s="512">
        <x:v>6213</x:v>
      </x:c>
      <x:c r="Y45" s="512">
        <x:v>3312</x:v>
      </x:c>
      <x:c r="Z45" s="512"/>
      <x:c r="AA45" s="512"/>
      <x:c r="AB45" s="512"/>
      <x:c r="AC45" s="512"/>
      <x:c r="AD45" s="512"/>
      <x:c r="AE45" s="512"/>
      <x:c r="AF45" s="512"/>
      <x:c r="AG45" s="512"/>
      <x:c r="AH45" s="512"/>
      <x:c r="AI45" s="512"/>
      <x:c r="AJ45" s="512"/>
      <x:c r="AK45" s="512"/>
      <x:c r="AL45" s="512"/>
      <x:c r="AM45" s="512"/>
      <x:c r="AN45" s="512"/>
      <x:c r="AO45" s="514"/>
    </x:row>
    <x:row r="46" ht="19" customHeight="1">
      <x:c r="B46" s="509">
        <x:v>45</x:v>
      </x:c>
      <x:c r="C46" s="512">
        <x:v>5022</x:v>
      </x:c>
      <x:c r="D46" s="513">
        <x:v>10578</x:v>
      </x:c>
      <x:c r="E46" s="513">
        <x:v>14373</x:v>
      </x:c>
      <x:c r="F46" s="513">
        <x:v>14179</x:v>
      </x:c>
      <x:c r="G46" s="512">
        <x:v>10660</x:v>
      </x:c>
      <x:c r="H46" s="512">
        <x:v>7865</x:v>
      </x:c>
      <x:c r="I46" s="512">
        <x:v>8407</x:v>
      </x:c>
      <x:c r="J46" s="512">
        <x:v>7073</x:v>
      </x:c>
      <x:c r="K46" s="512">
        <x:v>8253</x:v>
      </x:c>
      <x:c r="L46" s="512">
        <x:v>6642</x:v>
      </x:c>
      <x:c r="M46" s="512">
        <x:v>8241</x:v>
      </x:c>
      <x:c r="N46" s="512">
        <x:v>6676</x:v>
      </x:c>
      <x:c r="O46" s="512">
        <x:v>6075</x:v>
      </x:c>
      <x:c r="P46" s="512">
        <x:v>6103</x:v>
      </x:c>
      <x:c r="Q46" s="517">
        <x:v>6351</x:v>
      </x:c>
      <x:c r="R46" s="517">
        <x:v>6270</x:v>
      </x:c>
      <x:c r="S46" s="517">
        <x:v>6139</x:v>
      </x:c>
      <x:c r="T46" s="517">
        <x:v>6323</x:v>
      </x:c>
      <x:c r="U46" s="517">
        <x:v>7701</x:v>
      </x:c>
      <x:c r="V46" s="512">
        <x:v>8213</x:v>
      </x:c>
      <x:c r="W46" s="512">
        <x:v>8605</x:v>
      </x:c>
      <x:c r="X46" s="512">
        <x:v>8274</x:v>
      </x:c>
      <x:c r="Y46" s="512">
        <x:v>3594</x:v>
      </x:c>
      <x:c r="Z46" s="512"/>
      <x:c r="AA46" s="512"/>
      <x:c r="AB46" s="512"/>
      <x:c r="AC46" s="512"/>
      <x:c r="AD46" s="512"/>
      <x:c r="AE46" s="512"/>
      <x:c r="AF46" s="512"/>
      <x:c r="AG46" s="512"/>
      <x:c r="AH46" s="512"/>
      <x:c r="AI46" s="512"/>
      <x:c r="AJ46" s="512"/>
      <x:c r="AK46" s="512"/>
      <x:c r="AL46" s="512"/>
      <x:c r="AM46" s="512"/>
      <x:c r="AN46" s="512"/>
      <x:c r="AO46" s="514"/>
    </x:row>
    <x:row r="47" ht="19" customHeight="1">
      <x:c r="B47" s="509">
        <x:v>46</x:v>
      </x:c>
      <x:c r="C47" s="516">
        <x:v>1589</x:v>
      </x:c>
      <x:c r="D47" s="513">
        <x:v>5209</x:v>
      </x:c>
      <x:c r="E47" s="515">
        <x:v>4678</x:v>
      </x:c>
      <x:c r="F47" s="513">
        <x:v>9520</x:v>
      </x:c>
      <x:c r="G47" s="512">
        <x:v>6333</x:v>
      </x:c>
      <x:c r="H47" s="512">
        <x:v>7305</x:v>
      </x:c>
      <x:c r="I47" s="512">
        <x:v>6134</x:v>
      </x:c>
      <x:c r="J47" s="512">
        <x:v>6401</x:v>
      </x:c>
      <x:c r="K47" s="512">
        <x:v>6146</x:v>
      </x:c>
      <x:c r="L47" s="512">
        <x:v>6558</x:v>
      </x:c>
      <x:c r="M47" s="512">
        <x:v>6064</x:v>
      </x:c>
      <x:c r="N47" s="512">
        <x:v>6025</x:v>
      </x:c>
      <x:c r="O47" s="512">
        <x:v>5954</x:v>
      </x:c>
      <x:c r="P47" s="512">
        <x:v>1893</x:v>
      </x:c>
      <x:c r="Q47" s="512">
        <x:v>8596</x:v>
      </x:c>
      <x:c r="R47" s="512">
        <x:v>6157</x:v>
      </x:c>
      <x:c r="S47" s="512">
        <x:v>6199</x:v>
      </x:c>
      <x:c r="T47" s="512">
        <x:v>6351</x:v>
      </x:c>
      <x:c r="U47" s="512">
        <x:v>6007</x:v>
      </x:c>
      <x:c r="V47" s="512">
        <x:v>6300</x:v>
      </x:c>
      <x:c r="W47" s="512">
        <x:v>6108</x:v>
      </x:c>
      <x:c r="X47" s="512">
        <x:v>6005</x:v>
      </x:c>
      <x:c r="Y47" s="512">
        <x:v>3813</x:v>
      </x:c>
      <x:c r="Z47" s="512"/>
      <x:c r="AA47" s="512"/>
      <x:c r="AB47" s="512"/>
      <x:c r="AC47" s="512"/>
      <x:c r="AD47" s="512"/>
      <x:c r="AE47" s="512"/>
      <x:c r="AF47" s="512"/>
      <x:c r="AG47" s="512"/>
      <x:c r="AH47" s="512"/>
      <x:c r="AI47" s="512"/>
      <x:c r="AJ47" s="512"/>
      <x:c r="AK47" s="512"/>
      <x:c r="AL47" s="512"/>
      <x:c r="AM47" s="512"/>
      <x:c r="AN47" s="512"/>
      <x:c r="AO47" s="514"/>
    </x:row>
    <x:row r="48" ht="19" customHeight="1">
      <x:c r="B48" s="509">
        <x:v>47</x:v>
      </x:c>
      <x:c r="C48" s="515">
        <x:v>3206</x:v>
      </x:c>
      <x:c r="D48" s="513">
        <x:v>8355</x:v>
      </x:c>
      <x:c r="E48" s="513">
        <x:v>16340</x:v>
      </x:c>
      <x:c r="F48" s="513">
        <x:v>14587</x:v>
      </x:c>
      <x:c r="G48" s="512">
        <x:v>12379</x:v>
      </x:c>
      <x:c r="H48" s="512">
        <x:v>13932</x:v>
      </x:c>
      <x:c r="I48" s="512">
        <x:v>19527</x:v>
      </x:c>
      <x:c r="J48" s="512">
        <x:v>21975</x:v>
      </x:c>
      <x:c r="K48" s="512">
        <x:v>16277</x:v>
      </x:c>
      <x:c r="L48" s="512">
        <x:v>17644</x:v>
      </x:c>
      <x:c r="M48" s="512">
        <x:v>19893</x:v>
      </x:c>
      <x:c r="N48" s="512">
        <x:v>10933</x:v>
      </x:c>
      <x:c r="O48" s="512">
        <x:v>12182</x:v>
      </x:c>
      <x:c r="P48" s="512">
        <x:v>17853</x:v>
      </x:c>
      <x:c r="Q48" s="512">
        <x:v>15749</x:v>
      </x:c>
      <x:c r="R48" s="512">
        <x:v>22433</x:v>
      </x:c>
      <x:c r="S48" s="512">
        <x:v>19552</x:v>
      </x:c>
      <x:c r="T48" s="512">
        <x:v>17196</x:v>
      </x:c>
      <x:c r="U48" s="512">
        <x:v>4755</x:v>
      </x:c>
      <x:c r="V48" s="512">
        <x:v>14410</x:v>
      </x:c>
      <x:c r="W48" s="512">
        <x:v>16707</x:v>
      </x:c>
      <x:c r="X48" s="512">
        <x:v>13373</x:v>
      </x:c>
      <x:c r="Y48" s="512">
        <x:v>7287</x:v>
      </x:c>
      <x:c r="Z48" s="512"/>
      <x:c r="AA48" s="512"/>
      <x:c r="AB48" s="512"/>
      <x:c r="AC48" s="512"/>
      <x:c r="AD48" s="512"/>
      <x:c r="AE48" s="512"/>
      <x:c r="AF48" s="512"/>
      <x:c r="AG48" s="512"/>
      <x:c r="AH48" s="512"/>
      <x:c r="AI48" s="512"/>
      <x:c r="AJ48" s="512"/>
      <x:c r="AK48" s="512"/>
      <x:c r="AL48" s="512"/>
      <x:c r="AM48" s="512"/>
      <x:c r="AN48" s="512"/>
      <x:c r="AO48" s="514"/>
    </x:row>
    <x:row r="49" ht="19" customHeight="1">
      <x:c r="B49" s="509">
        <x:v>48</x:v>
      </x:c>
      <x:c r="C49" s="519"/>
      <x:c r="D49" s="519"/>
      <x:c r="E49" s="515">
        <x:v>1368</x:v>
      </x:c>
      <x:c r="F49" s="513">
        <x:v>4871</x:v>
      </x:c>
      <x:c r="G49" s="512">
        <x:v>7253</x:v>
      </x:c>
      <x:c r="H49" s="512">
        <x:v>8632</x:v>
      </x:c>
      <x:c r="I49" s="512">
        <x:v>8176</x:v>
      </x:c>
      <x:c r="J49" s="512">
        <x:v>12482</x:v>
      </x:c>
      <x:c r="K49" s="512">
        <x:v>8200</x:v>
      </x:c>
      <x:c r="L49" s="512">
        <x:v>8108</x:v>
      </x:c>
      <x:c r="M49" s="512">
        <x:v>9340</x:v>
      </x:c>
      <x:c r="N49" s="512">
        <x:v>6341</x:v>
      </x:c>
      <x:c r="O49" s="512">
        <x:v>5063</x:v>
      </x:c>
      <x:c r="P49" s="512">
        <x:v>2406</x:v>
      </x:c>
      <x:c r="Q49" s="512">
        <x:v>1119</x:v>
      </x:c>
      <x:c r="R49" s="512">
        <x:v>5071</x:v>
      </x:c>
      <x:c r="S49" s="512">
        <x:v>5344</x:v>
      </x:c>
      <x:c r="T49" s="512">
        <x:v>3304</x:v>
      </x:c>
      <x:c r="U49" s="512">
        <x:v>3319</x:v>
      </x:c>
      <x:c r="V49" s="512">
        <x:v>6443</x:v>
      </x:c>
      <x:c r="W49" s="512">
        <x:v>4379</x:v>
      </x:c>
      <x:c r="X49" s="512">
        <x:v>4828</x:v>
      </x:c>
      <x:c r="Y49" s="512">
        <x:v>4352</x:v>
      </x:c>
      <x:c r="Z49" s="512"/>
      <x:c r="AA49" s="512"/>
      <x:c r="AB49" s="512"/>
      <x:c r="AC49" s="512"/>
      <x:c r="AD49" s="512"/>
      <x:c r="AE49" s="512"/>
      <x:c r="AF49" s="512"/>
      <x:c r="AG49" s="512"/>
      <x:c r="AH49" s="512"/>
      <x:c r="AI49" s="512"/>
      <x:c r="AJ49" s="512"/>
      <x:c r="AK49" s="512"/>
      <x:c r="AL49" s="512"/>
      <x:c r="AM49" s="512"/>
      <x:c r="AN49" s="512"/>
      <x:c r="AO49" s="514"/>
    </x:row>
    <x:row r="50" ht="19" customHeight="1">
      <x:c r="B50" s="509">
        <x:v>49</x:v>
      </x:c>
      <x:c r="C50" s="519"/>
      <x:c r="D50" s="519"/>
      <x:c r="E50" s="515">
        <x:v>170</x:v>
      </x:c>
      <x:c r="F50" s="513">
        <x:v>5910</x:v>
      </x:c>
      <x:c r="G50" s="512">
        <x:v>7215</x:v>
      </x:c>
      <x:c r="H50" s="512">
        <x:v>3963</x:v>
      </x:c>
      <x:c r="I50" s="512">
        <x:v>6206</x:v>
      </x:c>
      <x:c r="J50" s="512">
        <x:v>6364</x:v>
      </x:c>
      <x:c r="K50" s="512">
        <x:v>2772</x:v>
      </x:c>
      <x:c r="L50" s="512">
        <x:v>649</x:v>
      </x:c>
      <x:c r="M50" s="512">
        <x:v>3718</x:v>
      </x:c>
      <x:c r="N50" s="512">
        <x:v>1569</x:v>
      </x:c>
      <x:c r="O50" s="512">
        <x:v>4881</x:v>
      </x:c>
      <x:c r="P50" s="512">
        <x:v>10165</x:v>
      </x:c>
      <x:c r="Q50" s="512">
        <x:v>6990</x:v>
      </x:c>
      <x:c r="R50" s="512">
        <x:v>13688</x:v>
      </x:c>
      <x:c r="S50" s="512">
        <x:v>9306</x:v>
      </x:c>
      <x:c r="T50" s="512">
        <x:v>6407</x:v>
      </x:c>
      <x:c r="U50" s="512">
        <x:v>5338</x:v>
      </x:c>
      <x:c r="V50" s="512">
        <x:v>4589</x:v>
      </x:c>
      <x:c r="W50" s="512">
        <x:v>3997</x:v>
      </x:c>
      <x:c r="X50" s="512">
        <x:v>5687</x:v>
      </x:c>
      <x:c r="Y50" s="512">
        <x:v>2915</x:v>
      </x:c>
      <x:c r="Z50" s="512"/>
      <x:c r="AA50" s="512"/>
      <x:c r="AB50" s="512"/>
      <x:c r="AC50" s="512"/>
      <x:c r="AD50" s="512"/>
      <x:c r="AE50" s="512"/>
      <x:c r="AF50" s="512"/>
      <x:c r="AG50" s="512"/>
      <x:c r="AH50" s="512"/>
      <x:c r="AI50" s="512"/>
      <x:c r="AJ50" s="512"/>
      <x:c r="AK50" s="512"/>
      <x:c r="AL50" s="512"/>
      <x:c r="AM50" s="512"/>
      <x:c r="AN50" s="512"/>
      <x:c r="AO50" s="514"/>
    </x:row>
    <x:row r="51" ht="19" customHeight="1">
      <x:c r="B51" s="509">
        <x:v>50</x:v>
      </x:c>
      <x:c r="C51" s="519"/>
      <x:c r="D51" s="519"/>
      <x:c r="E51" s="515">
        <x:v>0</x:v>
      </x:c>
      <x:c r="F51" s="515">
        <x:v>158</x:v>
      </x:c>
      <x:c r="G51" s="512">
        <x:v>5444</x:v>
      </x:c>
      <x:c r="H51" s="512">
        <x:v>6897</x:v>
      </x:c>
      <x:c r="I51" s="512">
        <x:v>5538</x:v>
      </x:c>
      <x:c r="J51" s="512">
        <x:v>6677</x:v>
      </x:c>
      <x:c r="K51" s="512">
        <x:v>10963</x:v>
      </x:c>
      <x:c r="L51" s="512">
        <x:v>9182</x:v>
      </x:c>
      <x:c r="M51" s="512">
        <x:v>9946</x:v>
      </x:c>
      <x:c r="N51" s="512">
        <x:v>3500</x:v>
      </x:c>
      <x:c r="O51" s="512">
        <x:v>6505</x:v>
      </x:c>
      <x:c r="P51" s="512">
        <x:v>6059</x:v>
      </x:c>
      <x:c r="Q51" s="512">
        <x:v>7138</x:v>
      </x:c>
      <x:c r="R51" s="512">
        <x:v>6009</x:v>
      </x:c>
      <x:c r="S51" s="512">
        <x:v>6010</x:v>
      </x:c>
      <x:c r="T51" s="512">
        <x:v>6545</x:v>
      </x:c>
      <x:c r="U51" s="512">
        <x:v>6019</x:v>
      </x:c>
      <x:c r="V51" s="512">
        <x:v>6183</x:v>
      </x:c>
      <x:c r="W51" s="512">
        <x:v>6457</x:v>
      </x:c>
      <x:c r="X51" s="512">
        <x:v>6058</x:v>
      </x:c>
      <x:c r="Y51" s="512">
        <x:v>3109</x:v>
      </x:c>
      <x:c r="Z51" s="512"/>
      <x:c r="AA51" s="512"/>
      <x:c r="AB51" s="512"/>
      <x:c r="AC51" s="512"/>
      <x:c r="AD51" s="512"/>
      <x:c r="AE51" s="512"/>
      <x:c r="AF51" s="512"/>
      <x:c r="AG51" s="512"/>
      <x:c r="AH51" s="512"/>
      <x:c r="AI51" s="512"/>
      <x:c r="AJ51" s="512"/>
      <x:c r="AK51" s="512"/>
      <x:c r="AL51" s="512"/>
      <x:c r="AM51" s="512"/>
      <x:c r="AN51" s="512"/>
      <x:c r="AO51" s="514"/>
    </x:row>
    <x:row r="52" ht="19" customHeight="1">
      <x:c r="B52" s="509">
        <x:v>51</x:v>
      </x:c>
      <x:c r="C52" s="519"/>
      <x:c r="D52" s="519"/>
      <x:c r="E52" s="519"/>
      <x:c r="F52" s="519"/>
      <x:c r="G52" s="512">
        <x:v>4691</x:v>
      </x:c>
      <x:c r="H52" s="512">
        <x:v>9845</x:v>
      </x:c>
      <x:c r="I52" s="512">
        <x:v>7464</x:v>
      </x:c>
      <x:c r="J52" s="512">
        <x:v>9234</x:v>
      </x:c>
      <x:c r="K52" s="512">
        <x:v>10251</x:v>
      </x:c>
      <x:c r="L52" s="512">
        <x:v>9723</x:v>
      </x:c>
      <x:c r="M52" s="512">
        <x:v>6823</x:v>
      </x:c>
      <x:c r="N52" s="512">
        <x:v>10279</x:v>
      </x:c>
      <x:c r="O52" s="512">
        <x:v>8068</x:v>
      </x:c>
      <x:c r="P52" s="512">
        <x:v>5493</x:v>
      </x:c>
      <x:c r="Q52" s="512">
        <x:v>2010</x:v>
      </x:c>
      <x:c r="R52" s="512">
        <x:v>3651</x:v>
      </x:c>
      <x:c r="S52" s="512">
        <x:v>6453</x:v>
      </x:c>
      <x:c r="T52" s="512">
        <x:v>9238</x:v>
      </x:c>
      <x:c r="U52" s="512">
        <x:v>8493</x:v>
      </x:c>
      <x:c r="V52" s="512">
        <x:v>7155</x:v>
      </x:c>
      <x:c r="W52" s="512">
        <x:v>8060</x:v>
      </x:c>
      <x:c r="X52" s="512">
        <x:v>7647</x:v>
      </x:c>
      <x:c r="Y52" s="512">
        <x:v>5948</x:v>
      </x:c>
      <x:c r="Z52" s="512"/>
      <x:c r="AA52" s="512"/>
      <x:c r="AB52" s="512"/>
      <x:c r="AC52" s="512"/>
      <x:c r="AD52" s="512"/>
      <x:c r="AE52" s="512"/>
      <x:c r="AF52" s="512"/>
      <x:c r="AG52" s="512"/>
      <x:c r="AH52" s="512"/>
      <x:c r="AI52" s="512"/>
      <x:c r="AJ52" s="512"/>
      <x:c r="AK52" s="512"/>
      <x:c r="AL52" s="512"/>
      <x:c r="AM52" s="512"/>
      <x:c r="AN52" s="512"/>
      <x:c r="AO52" s="514"/>
    </x:row>
    <x:row r="53" ht="19" customHeight="1">
      <x:c r="B53" s="509">
        <x:v>52</x:v>
      </x:c>
      <x:c r="C53" s="519"/>
      <x:c r="D53" s="519"/>
      <x:c r="E53" s="519"/>
      <x:c r="F53" s="519"/>
      <x:c r="G53" s="512">
        <x:v>27</x:v>
      </x:c>
      <x:c r="H53" s="512">
        <x:v>9316</x:v>
      </x:c>
      <x:c r="I53" s="512">
        <x:v>10785</x:v>
      </x:c>
      <x:c r="J53" s="512">
        <x:v>8551</x:v>
      </x:c>
      <x:c r="K53" s="512">
        <x:v>8818</x:v>
      </x:c>
      <x:c r="L53" s="512">
        <x:v>8022</x:v>
      </x:c>
      <x:c r="M53" s="512">
        <x:v>8183</x:v>
      </x:c>
      <x:c r="N53" s="512">
        <x:v>3188</x:v>
      </x:c>
      <x:c r="O53" s="512">
        <x:v>10214</x:v>
      </x:c>
      <x:c r="P53" s="512">
        <x:v>12126</x:v>
      </x:c>
      <x:c r="Q53" s="512">
        <x:v>8707</x:v>
      </x:c>
      <x:c r="R53" s="512">
        <x:v>8652</x:v>
      </x:c>
      <x:c r="S53" s="512">
        <x:v>6056</x:v>
      </x:c>
      <x:c r="T53" s="512">
        <x:v>6055</x:v>
      </x:c>
      <x:c r="U53" s="512">
        <x:v>5159</x:v>
      </x:c>
      <x:c r="V53" s="512">
        <x:v>6092</x:v>
      </x:c>
      <x:c r="W53" s="512">
        <x:v>7831</x:v>
      </x:c>
      <x:c r="X53" s="512">
        <x:v>8063</x:v>
      </x:c>
      <x:c r="Y53" s="512">
        <x:v>4813</x:v>
      </x:c>
      <x:c r="Z53" s="512"/>
      <x:c r="AA53" s="512"/>
      <x:c r="AB53" s="512"/>
      <x:c r="AC53" s="512"/>
      <x:c r="AD53" s="512"/>
      <x:c r="AE53" s="512"/>
      <x:c r="AF53" s="512"/>
      <x:c r="AG53" s="512"/>
      <x:c r="AH53" s="512"/>
      <x:c r="AI53" s="512"/>
      <x:c r="AJ53" s="512"/>
      <x:c r="AK53" s="512"/>
      <x:c r="AL53" s="512"/>
      <x:c r="AM53" s="512"/>
      <x:c r="AN53" s="512"/>
      <x:c r="AO53" s="514"/>
    </x:row>
    <x:row r="54" ht="19" customHeight="1">
      <x:c r="B54" s="509">
        <x:v>53</x:v>
      </x:c>
      <x:c r="C54" s="519"/>
      <x:c r="D54" s="519"/>
      <x:c r="E54" s="519"/>
      <x:c r="F54" s="519"/>
      <x:c r="G54" s="512">
        <x:v>0</x:v>
      </x:c>
      <x:c r="H54" s="512">
        <x:v>4288</x:v>
      </x:c>
      <x:c r="I54" s="512">
        <x:v>8197</x:v>
      </x:c>
      <x:c r="J54" s="512">
        <x:v>10697</x:v>
      </x:c>
      <x:c r="K54" s="512">
        <x:v>10308</x:v>
      </x:c>
      <x:c r="L54" s="512">
        <x:v>8202</x:v>
      </x:c>
      <x:c r="M54" s="512">
        <x:v>9177</x:v>
      </x:c>
      <x:c r="N54" s="512">
        <x:v>6389</x:v>
      </x:c>
      <x:c r="O54" s="512">
        <x:v>7823</x:v>
      </x:c>
      <x:c r="P54" s="512">
        <x:v>3677</x:v>
      </x:c>
      <x:c r="Q54" s="512">
        <x:v>3</x:v>
      </x:c>
      <x:c r="R54" s="512">
        <x:v>998</x:v>
      </x:c>
      <x:c r="S54" s="512">
        <x:v>251</x:v>
      </x:c>
      <x:c r="T54" s="512">
        <x:v>1378</x:v>
      </x:c>
      <x:c r="U54" s="512">
        <x:v>60</x:v>
      </x:c>
      <x:c r="V54" s="512">
        <x:v>3847</x:v>
      </x:c>
      <x:c r="W54" s="512">
        <x:v>1239</x:v>
      </x:c>
      <x:c r="X54" s="512">
        <x:v>2723</x:v>
      </x:c>
      <x:c r="Y54" s="512">
        <x:v>3927</x:v>
      </x:c>
      <x:c r="Z54" s="512"/>
      <x:c r="AA54" s="512"/>
      <x:c r="AB54" s="512"/>
      <x:c r="AC54" s="512"/>
      <x:c r="AD54" s="512"/>
      <x:c r="AE54" s="512"/>
      <x:c r="AF54" s="512"/>
      <x:c r="AG54" s="512"/>
      <x:c r="AH54" s="512"/>
      <x:c r="AI54" s="512"/>
      <x:c r="AJ54" s="512"/>
      <x:c r="AK54" s="512"/>
      <x:c r="AL54" s="512"/>
      <x:c r="AM54" s="512"/>
      <x:c r="AN54" s="512"/>
      <x:c r="AO54" s="514"/>
    </x:row>
    <x:row r="55" ht="19" customHeight="1">
      <x:c r="B55" s="509">
        <x:v>54</x:v>
      </x:c>
      <x:c r="C55" s="519"/>
      <x:c r="D55" s="519"/>
      <x:c r="E55" s="519"/>
      <x:c r="F55" s="519"/>
      <x:c r="G55" s="512">
        <x:v>0</x:v>
      </x:c>
      <x:c r="H55" s="512">
        <x:v>0</x:v>
      </x:c>
      <x:c r="I55" s="512">
        <x:v>15</x:v>
      </x:c>
      <x:c r="J55" s="512">
        <x:v>6029</x:v>
      </x:c>
      <x:c r="K55" s="512">
        <x:v>6222</x:v>
      </x:c>
      <x:c r="L55" s="512">
        <x:v>6558</x:v>
      </x:c>
      <x:c r="M55" s="512">
        <x:v>3904</x:v>
      </x:c>
      <x:c r="N55" s="512">
        <x:v>6019</x:v>
      </x:c>
      <x:c r="O55" s="512">
        <x:v>6444</x:v>
      </x:c>
      <x:c r="P55" s="512">
        <x:v>5117</x:v>
      </x:c>
      <x:c r="Q55" s="512">
        <x:v>2108</x:v>
      </x:c>
      <x:c r="R55" s="512">
        <x:v>6414</x:v>
      </x:c>
      <x:c r="S55" s="512">
        <x:v>6493</x:v>
      </x:c>
      <x:c r="T55" s="512">
        <x:v>3276</x:v>
      </x:c>
      <x:c r="U55" s="512">
        <x:v>7527</x:v>
      </x:c>
      <x:c r="V55" s="512">
        <x:v>6793</x:v>
      </x:c>
      <x:c r="W55" s="512">
        <x:v>5130</x:v>
      </x:c>
      <x:c r="X55" s="512">
        <x:v>10178</x:v>
      </x:c>
      <x:c r="Y55" s="512">
        <x:v>4506</x:v>
      </x:c>
      <x:c r="Z55" s="512"/>
      <x:c r="AA55" s="512"/>
      <x:c r="AB55" s="512"/>
      <x:c r="AC55" s="512"/>
      <x:c r="AD55" s="512"/>
      <x:c r="AE55" s="512"/>
      <x:c r="AF55" s="512"/>
      <x:c r="AG55" s="512"/>
      <x:c r="AH55" s="512"/>
      <x:c r="AI55" s="512"/>
      <x:c r="AJ55" s="512"/>
      <x:c r="AK55" s="512"/>
      <x:c r="AL55" s="512"/>
      <x:c r="AM55" s="512"/>
      <x:c r="AN55" s="512"/>
      <x:c r="AO55" s="514"/>
    </x:row>
    <x:row r="56" ht="19" customHeight="1">
      <x:c r="B56" s="509">
        <x:v>55</x:v>
      </x:c>
      <x:c r="C56" s="519"/>
      <x:c r="D56" s="519"/>
      <x:c r="E56" s="519"/>
      <x:c r="F56" s="519"/>
      <x:c r="G56" s="519"/>
      <x:c r="H56" s="519"/>
      <x:c r="I56" s="519"/>
      <x:c r="J56" s="519"/>
      <x:c r="K56" s="519"/>
      <x:c r="L56" s="519"/>
      <x:c r="M56" s="512">
        <x:v>4889</x:v>
      </x:c>
      <x:c r="N56" s="512">
        <x:v>6015</x:v>
      </x:c>
      <x:c r="O56" s="512">
        <x:v>6127</x:v>
      </x:c>
      <x:c r="P56" s="512">
        <x:v>6060</x:v>
      </x:c>
      <x:c r="Q56" s="512">
        <x:v>8152</x:v>
      </x:c>
      <x:c r="R56" s="512">
        <x:v>6038</x:v>
      </x:c>
      <x:c r="S56" s="512">
        <x:v>6169</x:v>
      </x:c>
      <x:c r="T56" s="512">
        <x:v>6015</x:v>
      </x:c>
      <x:c r="U56" s="512">
        <x:v>6098</x:v>
      </x:c>
      <x:c r="V56" s="512">
        <x:v>6024</x:v>
      </x:c>
      <x:c r="W56" s="512">
        <x:v>5034</x:v>
      </x:c>
      <x:c r="X56" s="512">
        <x:v>6064</x:v>
      </x:c>
      <x:c r="Y56" s="512">
        <x:v>2207</x:v>
      </x:c>
      <x:c r="Z56" s="512"/>
      <x:c r="AA56" s="512"/>
      <x:c r="AB56" s="512"/>
      <x:c r="AC56" s="512"/>
      <x:c r="AD56" s="512"/>
      <x:c r="AE56" s="512"/>
      <x:c r="AF56" s="512"/>
      <x:c r="AG56" s="512"/>
      <x:c r="AH56" s="512"/>
      <x:c r="AI56" s="512"/>
      <x:c r="AJ56" s="512"/>
      <x:c r="AK56" s="512"/>
      <x:c r="AL56" s="512"/>
      <x:c r="AM56" s="512"/>
      <x:c r="AN56" s="512"/>
      <x:c r="AO56" s="514"/>
    </x:row>
    <x:row r="57" ht="19" customHeight="1">
      <x:c r="B57" s="509">
        <x:v>56</x:v>
      </x:c>
      <x:c r="C57" s="519"/>
      <x:c r="D57" s="519"/>
      <x:c r="E57" s="519"/>
      <x:c r="F57" s="519"/>
      <x:c r="G57" s="519"/>
      <x:c r="H57" s="519"/>
      <x:c r="I57" s="519"/>
      <x:c r="J57" s="519"/>
      <x:c r="K57" s="519"/>
      <x:c r="L57" s="519"/>
      <x:c r="M57" s="512">
        <x:v>296</x:v>
      </x:c>
      <x:c r="N57" s="512">
        <x:v>1604</x:v>
      </x:c>
      <x:c r="O57" s="512">
        <x:v>6438</x:v>
      </x:c>
      <x:c r="P57" s="512">
        <x:v>4076</x:v>
      </x:c>
      <x:c r="Q57" s="512">
        <x:v>6519</x:v>
      </x:c>
      <x:c r="R57" s="512">
        <x:v>8001</x:v>
      </x:c>
      <x:c r="S57" s="512">
        <x:v>4379</x:v>
      </x:c>
      <x:c r="T57" s="512">
        <x:v>3490</x:v>
      </x:c>
      <x:c r="U57" s="512">
        <x:v>2885</x:v>
      </x:c>
      <x:c r="V57" s="512">
        <x:v>7850</x:v>
      </x:c>
      <x:c r="W57" s="512">
        <x:v>13465</x:v>
      </x:c>
      <x:c r="X57" s="512">
        <x:v>12913</x:v>
      </x:c>
      <x:c r="Y57" s="512">
        <x:v>5803</x:v>
      </x:c>
      <x:c r="Z57" s="512"/>
      <x:c r="AA57" s="512"/>
      <x:c r="AB57" s="512"/>
      <x:c r="AC57" s="512"/>
      <x:c r="AD57" s="512"/>
      <x:c r="AE57" s="512"/>
      <x:c r="AF57" s="512"/>
      <x:c r="AG57" s="512"/>
      <x:c r="AH57" s="512"/>
      <x:c r="AI57" s="512"/>
      <x:c r="AJ57" s="512"/>
      <x:c r="AK57" s="512"/>
      <x:c r="AL57" s="512"/>
      <x:c r="AM57" s="512"/>
      <x:c r="AN57" s="512"/>
      <x:c r="AO57" s="514"/>
    </x:row>
    <x:row r="58" ht="19" customHeight="1">
      <x:c r="B58" s="509">
        <x:v>57</x:v>
      </x:c>
      <x:c r="C58" s="519"/>
      <x:c r="D58" s="519"/>
      <x:c r="E58" s="519"/>
      <x:c r="F58" s="519"/>
      <x:c r="G58" s="519"/>
      <x:c r="H58" s="519"/>
      <x:c r="I58" s="519"/>
      <x:c r="J58" s="519"/>
      <x:c r="K58" s="519"/>
      <x:c r="L58" s="519"/>
      <x:c r="M58" s="519"/>
      <x:c r="N58" s="519"/>
      <x:c r="O58" s="519"/>
      <x:c r="P58" s="519"/>
      <x:c r="Q58" s="519"/>
      <x:c r="R58" s="512">
        <x:v>2</x:v>
      </x:c>
      <x:c r="S58" s="512">
        <x:v>10576</x:v>
      </x:c>
      <x:c r="T58" s="512">
        <x:v>6476</x:v>
      </x:c>
      <x:c r="U58" s="512">
        <x:v>5303</x:v>
      </x:c>
      <x:c r="V58" s="512">
        <x:v>11950</x:v>
      </x:c>
      <x:c r="W58" s="512">
        <x:v>7854</x:v>
      </x:c>
      <x:c r="X58" s="512">
        <x:v>6985</x:v>
      </x:c>
      <x:c r="Y58" s="512">
        <x:v>7272</x:v>
      </x:c>
      <x:c r="Z58" s="512"/>
      <x:c r="AA58" s="512"/>
      <x:c r="AB58" s="512"/>
      <x:c r="AC58" s="512"/>
      <x:c r="AD58" s="512"/>
      <x:c r="AE58" s="512"/>
      <x:c r="AF58" s="512"/>
      <x:c r="AG58" s="512"/>
      <x:c r="AH58" s="512"/>
      <x:c r="AI58" s="512"/>
      <x:c r="AJ58" s="512"/>
      <x:c r="AK58" s="512"/>
      <x:c r="AL58" s="512"/>
      <x:c r="AM58" s="512"/>
      <x:c r="AN58" s="512"/>
      <x:c r="AO58" s="514"/>
    </x:row>
    <x:row r="59" ht="19" customHeight="1">
      <x:c r="B59" s="509">
        <x:v>58</x:v>
      </x:c>
      <x:c r="C59" s="519"/>
      <x:c r="D59" s="519"/>
      <x:c r="E59" s="519"/>
      <x:c r="F59" s="519"/>
      <x:c r="G59" s="519"/>
      <x:c r="H59" s="519"/>
      <x:c r="I59" s="519"/>
      <x:c r="J59" s="519"/>
      <x:c r="K59" s="519"/>
      <x:c r="L59" s="519"/>
      <x:c r="M59" s="519"/>
      <x:c r="N59" s="519"/>
      <x:c r="O59" s="519"/>
      <x:c r="P59" s="519"/>
      <x:c r="Q59" s="519"/>
      <x:c r="R59" s="519"/>
      <x:c r="S59" s="512">
        <x:v>2079</x:v>
      </x:c>
      <x:c r="T59" s="512">
        <x:v>10488</x:v>
      </x:c>
      <x:c r="U59" s="512">
        <x:v>5547</x:v>
      </x:c>
      <x:c r="V59" s="512">
        <x:v>6124</x:v>
      </x:c>
      <x:c r="W59" s="512">
        <x:v>4023</x:v>
      </x:c>
      <x:c r="X59" s="512">
        <x:v>2516</x:v>
      </x:c>
      <x:c r="Y59" s="512">
        <x:v>96</x:v>
      </x:c>
      <x:c r="Z59" s="512"/>
      <x:c r="AA59" s="512"/>
      <x:c r="AB59" s="512"/>
      <x:c r="AC59" s="512"/>
      <x:c r="AD59" s="512"/>
      <x:c r="AE59" s="512"/>
      <x:c r="AF59" s="512"/>
      <x:c r="AG59" s="512"/>
      <x:c r="AH59" s="512"/>
      <x:c r="AI59" s="512"/>
      <x:c r="AJ59" s="512"/>
      <x:c r="AK59" s="512"/>
      <x:c r="AL59" s="512"/>
      <x:c r="AM59" s="512"/>
      <x:c r="AN59" s="512"/>
      <x:c r="AO59" s="514"/>
    </x:row>
    <x:row r="60" ht="19" customHeight="1">
      <x:c r="B60" s="509">
        <x:v>59</x:v>
      </x:c>
      <x:c r="C60" s="519"/>
      <x:c r="D60" s="519"/>
      <x:c r="E60" s="519"/>
      <x:c r="F60" s="519"/>
      <x:c r="G60" s="519"/>
      <x:c r="H60" s="519"/>
      <x:c r="I60" s="519"/>
      <x:c r="J60" s="519"/>
      <x:c r="K60" s="519"/>
      <x:c r="L60" s="519"/>
      <x:c r="M60" s="519"/>
      <x:c r="N60" s="519"/>
      <x:c r="O60" s="519"/>
      <x:c r="P60" s="519"/>
      <x:c r="Q60" s="519"/>
      <x:c r="R60" s="519"/>
      <x:c r="S60" s="519"/>
      <x:c r="T60" s="512">
        <x:v>1443</x:v>
      </x:c>
      <x:c r="U60" s="512">
        <x:v>4173</x:v>
      </x:c>
      <x:c r="V60" s="512">
        <x:v>429</x:v>
      </x:c>
      <x:c r="W60" s="512">
        <x:v>1</x:v>
      </x:c>
      <x:c r="X60" s="512">
        <x:v>1899</x:v>
      </x:c>
      <x:c r="Y60" s="512">
        <x:v>660</x:v>
      </x:c>
      <x:c r="Z60" s="512"/>
      <x:c r="AA60" s="512"/>
      <x:c r="AB60" s="512"/>
      <x:c r="AC60" s="512"/>
      <x:c r="AD60" s="512"/>
      <x:c r="AE60" s="512"/>
      <x:c r="AF60" s="512"/>
      <x:c r="AG60" s="512"/>
      <x:c r="AH60" s="512"/>
      <x:c r="AI60" s="512"/>
      <x:c r="AJ60" s="512"/>
      <x:c r="AK60" s="512"/>
      <x:c r="AL60" s="512"/>
      <x:c r="AM60" s="512"/>
      <x:c r="AN60" s="512"/>
      <x:c r="AO60" s="514"/>
    </x:row>
    <x:row r="61" ht="19" customHeight="1">
      <x:c r="B61" s="509">
        <x:v>60</x:v>
      </x:c>
      <x:c r="C61" s="519"/>
      <x:c r="D61" s="519"/>
      <x:c r="E61" s="519"/>
      <x:c r="F61" s="519"/>
      <x:c r="G61" s="519"/>
      <x:c r="H61" s="519"/>
      <x:c r="I61" s="519"/>
      <x:c r="J61" s="519"/>
      <x:c r="K61" s="519"/>
      <x:c r="L61" s="519"/>
      <x:c r="M61" s="519"/>
      <x:c r="N61" s="519"/>
      <x:c r="O61" s="519"/>
      <x:c r="P61" s="519"/>
      <x:c r="Q61" s="519"/>
      <x:c r="R61" s="519"/>
      <x:c r="S61" s="519"/>
      <x:c r="T61" s="519"/>
      <x:c r="U61" s="519"/>
      <x:c r="V61" s="519"/>
      <x:c r="W61" s="519"/>
      <x:c r="X61" s="512">
        <x:v>15</x:v>
      </x:c>
      <x:c r="Y61" s="512">
        <x:v>121</x:v>
      </x:c>
      <x:c r="Z61" s="512"/>
      <x:c r="AA61" s="512"/>
      <x:c r="AB61" s="512"/>
      <x:c r="AC61" s="512"/>
      <x:c r="AD61" s="512"/>
      <x:c r="AE61" s="512"/>
      <x:c r="AF61" s="512"/>
      <x:c r="AG61" s="512"/>
      <x:c r="AH61" s="512"/>
      <x:c r="AI61" s="512"/>
      <x:c r="AJ61" s="512"/>
      <x:c r="AK61" s="512"/>
      <x:c r="AL61" s="512"/>
      <x:c r="AM61" s="512"/>
      <x:c r="AN61" s="512"/>
      <x:c r="AO61" s="514"/>
    </x:row>
    <x:row r="62" ht="19" customHeight="1">
      <x:c r="B62" s="509">
        <x:v>61</x:v>
      </x:c>
      <x:c r="C62" s="519"/>
      <x:c r="D62" s="519"/>
      <x:c r="E62" s="519"/>
      <x:c r="F62" s="519"/>
      <x:c r="G62" s="519"/>
      <x:c r="H62" s="519"/>
      <x:c r="I62" s="519"/>
      <x:c r="J62" s="519"/>
      <x:c r="K62" s="519"/>
      <x:c r="L62" s="519"/>
      <x:c r="M62" s="519"/>
      <x:c r="N62" s="519"/>
      <x:c r="O62" s="519"/>
      <x:c r="P62" s="519"/>
      <x:c r="Q62" s="519"/>
      <x:c r="R62" s="519"/>
      <x:c r="S62" s="519"/>
      <x:c r="T62" s="519"/>
      <x:c r="U62" s="519"/>
      <x:c r="V62" s="519"/>
      <x:c r="W62" s="519"/>
      <x:c r="X62" s="512">
        <x:v>5</x:v>
      </x:c>
      <x:c r="Y62" s="512">
        <x:v>2567</x:v>
      </x:c>
      <x:c r="Z62" s="512"/>
      <x:c r="AA62" s="512"/>
      <x:c r="AB62" s="512"/>
      <x:c r="AC62" s="512"/>
      <x:c r="AD62" s="512"/>
      <x:c r="AE62" s="512"/>
      <x:c r="AF62" s="512"/>
      <x:c r="AG62" s="512"/>
      <x:c r="AH62" s="512"/>
      <x:c r="AI62" s="512"/>
      <x:c r="AJ62" s="512"/>
      <x:c r="AK62" s="512"/>
      <x:c r="AL62" s="512"/>
      <x:c r="AM62" s="512"/>
      <x:c r="AN62" s="512"/>
      <x:c r="AO62" s="514"/>
    </x:row>
    <x:row r="63" ht="19" customHeight="1">
      <x:c r="B63" s="510" t="str">
        <x:f>IF('CADASTRO DE LOJAS'!E65="SIM",'CADASTRO DE LOJAS'!B65,"")</x:f>
      </x:c>
      <x:c r="C63" s="520"/>
      <x:c r="D63" s="520"/>
      <x:c r="E63" s="520"/>
      <x:c r="F63" s="520"/>
      <x:c r="G63" s="520"/>
      <x:c r="H63" s="520"/>
      <x:c r="I63" s="520"/>
      <x:c r="J63" s="520"/>
      <x:c r="K63" s="520"/>
      <x:c r="L63" s="520"/>
      <x:c r="M63" s="520"/>
      <x:c r="N63" s="520"/>
      <x:c r="O63" s="520"/>
      <x:c r="P63" s="520"/>
      <x:c r="Q63" s="520"/>
      <x:c r="R63" s="520"/>
      <x:c r="S63" s="520"/>
      <x:c r="T63" s="520"/>
      <x:c r="U63" s="520"/>
      <x:c r="V63" s="520"/>
      <x:c r="W63" s="520"/>
      <x:c r="X63" s="520"/>
      <x:c r="Y63" s="520"/>
      <x:c r="Z63" s="520"/>
      <x:c r="AA63" s="520"/>
      <x:c r="AB63" s="520"/>
      <x:c r="AC63" s="520"/>
      <x:c r="AD63" s="520"/>
      <x:c r="AE63" s="520"/>
      <x:c r="AF63" s="520"/>
      <x:c r="AG63" s="520"/>
      <x:c r="AH63" s="520"/>
      <x:c r="AI63" s="520"/>
      <x:c r="AJ63" s="520"/>
      <x:c r="AK63" s="520"/>
      <x:c r="AL63" s="520"/>
      <x:c r="AM63" s="520"/>
      <x:c r="AN63" s="520"/>
      <x:c r="AO63" s="521"/>
    </x:row>
    <x:row r="64" ht="19" customHeight="1">
      <x:c r="B64" s="510" t="str">
        <x:f>IF('CADASTRO DE LOJAS'!E66="SIM",'CADASTRO DE LOJAS'!B66,"")</x:f>
      </x:c>
      <x:c r="C64" s="520"/>
      <x:c r="D64" s="520"/>
      <x:c r="E64" s="520"/>
      <x:c r="F64" s="520"/>
      <x:c r="G64" s="520"/>
      <x:c r="H64" s="520"/>
      <x:c r="I64" s="520"/>
      <x:c r="J64" s="520"/>
      <x:c r="K64" s="520"/>
      <x:c r="L64" s="520"/>
      <x:c r="M64" s="520"/>
      <x:c r="N64" s="520"/>
      <x:c r="O64" s="520"/>
      <x:c r="P64" s="520"/>
      <x:c r="Q64" s="520"/>
      <x:c r="R64" s="520"/>
      <x:c r="S64" s="520"/>
      <x:c r="T64" s="520"/>
      <x:c r="U64" s="520"/>
      <x:c r="V64" s="520"/>
      <x:c r="W64" s="520"/>
      <x:c r="X64" s="520"/>
      <x:c r="Y64" s="520"/>
      <x:c r="Z64" s="520"/>
      <x:c r="AA64" s="520"/>
      <x:c r="AB64" s="520"/>
      <x:c r="AC64" s="520"/>
      <x:c r="AD64" s="520"/>
      <x:c r="AE64" s="520"/>
      <x:c r="AF64" s="520"/>
      <x:c r="AG64" s="520"/>
      <x:c r="AH64" s="520"/>
      <x:c r="AI64" s="520"/>
      <x:c r="AJ64" s="520"/>
      <x:c r="AK64" s="520"/>
      <x:c r="AL64" s="520"/>
      <x:c r="AM64" s="520"/>
      <x:c r="AN64" s="520"/>
      <x:c r="AO64" s="521"/>
    </x:row>
    <x:row r="65" ht="19" customHeight="1">
      <x:c r="B65" s="510" t="str">
        <x:f>IF('CADASTRO DE LOJAS'!E67="SIM",'CADASTRO DE LOJAS'!B67,"")</x:f>
      </x:c>
      <x:c r="C65" s="520"/>
      <x:c r="D65" s="520"/>
      <x:c r="E65" s="520"/>
      <x:c r="F65" s="520"/>
      <x:c r="G65" s="520"/>
      <x:c r="H65" s="520"/>
      <x:c r="I65" s="520"/>
      <x:c r="J65" s="520"/>
      <x:c r="K65" s="520"/>
      <x:c r="L65" s="520"/>
      <x:c r="M65" s="520"/>
      <x:c r="N65" s="520"/>
      <x:c r="O65" s="520"/>
      <x:c r="P65" s="520"/>
      <x:c r="Q65" s="520"/>
      <x:c r="R65" s="520"/>
      <x:c r="S65" s="520"/>
      <x:c r="T65" s="520"/>
      <x:c r="U65" s="520"/>
      <x:c r="V65" s="520"/>
      <x:c r="W65" s="520"/>
      <x:c r="X65" s="520"/>
      <x:c r="Y65" s="520"/>
      <x:c r="Z65" s="520"/>
      <x:c r="AA65" s="520"/>
      <x:c r="AB65" s="520"/>
      <x:c r="AC65" s="520"/>
      <x:c r="AD65" s="520"/>
      <x:c r="AE65" s="520"/>
      <x:c r="AF65" s="520"/>
      <x:c r="AG65" s="520"/>
      <x:c r="AH65" s="520"/>
      <x:c r="AI65" s="520"/>
      <x:c r="AJ65" s="520"/>
      <x:c r="AK65" s="520"/>
      <x:c r="AL65" s="520"/>
      <x:c r="AM65" s="520"/>
      <x:c r="AN65" s="520"/>
      <x:c r="AO65" s="521"/>
    </x:row>
    <x:row r="66" ht="19" customHeight="1">
      <x:c r="B66" s="510" t="str">
        <x:f>IF('CADASTRO DE LOJAS'!E68="SIM",'CADASTRO DE LOJAS'!B68,"")</x:f>
      </x:c>
      <x:c r="C66" s="520"/>
      <x:c r="D66" s="520"/>
      <x:c r="E66" s="520"/>
      <x:c r="F66" s="520"/>
      <x:c r="G66" s="520"/>
      <x:c r="H66" s="520"/>
      <x:c r="I66" s="520"/>
      <x:c r="J66" s="520"/>
      <x:c r="K66" s="520"/>
      <x:c r="L66" s="520"/>
      <x:c r="M66" s="520"/>
      <x:c r="N66" s="520"/>
      <x:c r="O66" s="520"/>
      <x:c r="P66" s="520"/>
      <x:c r="Q66" s="520"/>
      <x:c r="R66" s="520"/>
      <x:c r="S66" s="520"/>
      <x:c r="T66" s="520"/>
      <x:c r="U66" s="520"/>
      <x:c r="V66" s="520"/>
      <x:c r="W66" s="520"/>
      <x:c r="X66" s="520"/>
      <x:c r="Y66" s="520"/>
      <x:c r="Z66" s="520"/>
      <x:c r="AA66" s="520"/>
      <x:c r="AB66" s="520"/>
      <x:c r="AC66" s="520"/>
      <x:c r="AD66" s="520"/>
      <x:c r="AE66" s="520"/>
      <x:c r="AF66" s="520"/>
      <x:c r="AG66" s="520"/>
      <x:c r="AH66" s="520"/>
      <x:c r="AI66" s="520"/>
      <x:c r="AJ66" s="520"/>
      <x:c r="AK66" s="520"/>
      <x:c r="AL66" s="520"/>
      <x:c r="AM66" s="520"/>
      <x:c r="AN66" s="520"/>
      <x:c r="AO66" s="521"/>
    </x:row>
    <x:row r="67" ht="19" customHeight="1">
      <x:c r="B67" s="510" t="str">
        <x:f>IF('CADASTRO DE LOJAS'!E69="SIM",'CADASTRO DE LOJAS'!B69,"")</x:f>
      </x:c>
      <x:c r="C67" s="520"/>
      <x:c r="D67" s="520"/>
      <x:c r="E67" s="520"/>
      <x:c r="F67" s="520"/>
      <x:c r="G67" s="520"/>
      <x:c r="H67" s="520"/>
      <x:c r="I67" s="520"/>
      <x:c r="J67" s="520"/>
      <x:c r="K67" s="520"/>
      <x:c r="L67" s="520"/>
      <x:c r="M67" s="520"/>
      <x:c r="N67" s="520"/>
      <x:c r="O67" s="520"/>
      <x:c r="P67" s="520"/>
      <x:c r="Q67" s="520"/>
      <x:c r="R67" s="520"/>
      <x:c r="S67" s="520"/>
      <x:c r="T67" s="520"/>
      <x:c r="U67" s="520"/>
      <x:c r="V67" s="520"/>
      <x:c r="W67" s="520"/>
      <x:c r="X67" s="520"/>
      <x:c r="Y67" s="520"/>
      <x:c r="Z67" s="520"/>
      <x:c r="AA67" s="520"/>
      <x:c r="AB67" s="520"/>
      <x:c r="AC67" s="520"/>
      <x:c r="AD67" s="520"/>
      <x:c r="AE67" s="520"/>
      <x:c r="AF67" s="520"/>
      <x:c r="AG67" s="520"/>
      <x:c r="AH67" s="520"/>
      <x:c r="AI67" s="520"/>
      <x:c r="AJ67" s="520"/>
      <x:c r="AK67" s="520"/>
      <x:c r="AL67" s="520"/>
      <x:c r="AM67" s="520"/>
      <x:c r="AN67" s="520"/>
      <x:c r="AO67" s="521"/>
    </x:row>
    <x:row r="68" ht="19" customHeight="1">
      <x:c r="B68" s="510" t="str">
        <x:f>IF('CADASTRO DE LOJAS'!E70="SIM",'CADASTRO DE LOJAS'!B70,"")</x:f>
      </x:c>
      <x:c r="C68" s="520"/>
      <x:c r="D68" s="520"/>
      <x:c r="E68" s="520"/>
      <x:c r="F68" s="520"/>
      <x:c r="G68" s="520"/>
      <x:c r="H68" s="520"/>
      <x:c r="I68" s="520"/>
      <x:c r="J68" s="520"/>
      <x:c r="K68" s="520"/>
      <x:c r="L68" s="520"/>
      <x:c r="M68" s="520"/>
      <x:c r="N68" s="520"/>
      <x:c r="O68" s="520"/>
      <x:c r="P68" s="520"/>
      <x:c r="Q68" s="520"/>
      <x:c r="R68" s="520"/>
      <x:c r="S68" s="520"/>
      <x:c r="T68" s="520"/>
      <x:c r="U68" s="520"/>
      <x:c r="V68" s="520"/>
      <x:c r="W68" s="520"/>
      <x:c r="X68" s="520"/>
      <x:c r="Y68" s="520"/>
      <x:c r="Z68" s="520"/>
      <x:c r="AA68" s="520"/>
      <x:c r="AB68" s="520"/>
      <x:c r="AC68" s="520"/>
      <x:c r="AD68" s="520"/>
      <x:c r="AE68" s="520"/>
      <x:c r="AF68" s="520"/>
      <x:c r="AG68" s="520"/>
      <x:c r="AH68" s="520"/>
      <x:c r="AI68" s="520"/>
      <x:c r="AJ68" s="520"/>
      <x:c r="AK68" s="520"/>
      <x:c r="AL68" s="520"/>
      <x:c r="AM68" s="520"/>
      <x:c r="AN68" s="520"/>
      <x:c r="AO68" s="521"/>
    </x:row>
    <x:row r="69" ht="19" customHeight="1">
      <x:c r="B69" s="510" t="str">
        <x:f>IF('CADASTRO DE LOJAS'!E71="SIM",'CADASTRO DE LOJAS'!B71,"")</x:f>
      </x:c>
      <x:c r="C69" s="520"/>
      <x:c r="D69" s="520"/>
      <x:c r="E69" s="520"/>
      <x:c r="F69" s="520"/>
      <x:c r="G69" s="520"/>
      <x:c r="H69" s="520"/>
      <x:c r="I69" s="520"/>
      <x:c r="J69" s="520"/>
      <x:c r="K69" s="520"/>
      <x:c r="L69" s="520"/>
      <x:c r="M69" s="520"/>
      <x:c r="N69" s="520"/>
      <x:c r="O69" s="520"/>
      <x:c r="P69" s="520"/>
      <x:c r="Q69" s="520"/>
      <x:c r="R69" s="520"/>
      <x:c r="S69" s="520"/>
      <x:c r="T69" s="520"/>
      <x:c r="U69" s="520"/>
      <x:c r="V69" s="520"/>
      <x:c r="W69" s="520"/>
      <x:c r="X69" s="520"/>
      <x:c r="Y69" s="520"/>
      <x:c r="Z69" s="520"/>
      <x:c r="AA69" s="520"/>
      <x:c r="AB69" s="520"/>
      <x:c r="AC69" s="520"/>
      <x:c r="AD69" s="520"/>
      <x:c r="AE69" s="520"/>
      <x:c r="AF69" s="520"/>
      <x:c r="AG69" s="520"/>
      <x:c r="AH69" s="520"/>
      <x:c r="AI69" s="520"/>
      <x:c r="AJ69" s="520"/>
      <x:c r="AK69" s="520"/>
      <x:c r="AL69" s="520"/>
      <x:c r="AM69" s="520"/>
      <x:c r="AN69" s="520"/>
      <x:c r="AO69" s="521"/>
    </x:row>
    <x:row r="70" ht="19" customHeight="1">
      <x:c r="B70" s="510" t="str">
        <x:f>IF('CADASTRO DE LOJAS'!E72="SIM",'CADASTRO DE LOJAS'!B72,"")</x:f>
      </x:c>
      <x:c r="C70" s="520"/>
      <x:c r="D70" s="520"/>
      <x:c r="E70" s="520"/>
      <x:c r="F70" s="520"/>
      <x:c r="G70" s="520"/>
      <x:c r="H70" s="520"/>
      <x:c r="I70" s="520"/>
      <x:c r="J70" s="520"/>
      <x:c r="K70" s="520"/>
      <x:c r="L70" s="520"/>
      <x:c r="M70" s="520"/>
      <x:c r="N70" s="520"/>
      <x:c r="O70" s="520"/>
      <x:c r="P70" s="520"/>
      <x:c r="Q70" s="520"/>
      <x:c r="R70" s="520"/>
      <x:c r="S70" s="520"/>
      <x:c r="T70" s="520"/>
      <x:c r="U70" s="520"/>
      <x:c r="V70" s="520"/>
      <x:c r="W70" s="520"/>
      <x:c r="X70" s="520"/>
      <x:c r="Y70" s="520"/>
      <x:c r="Z70" s="520"/>
      <x:c r="AA70" s="520"/>
      <x:c r="AB70" s="520"/>
      <x:c r="AC70" s="520"/>
      <x:c r="AD70" s="520"/>
      <x:c r="AE70" s="520"/>
      <x:c r="AF70" s="520"/>
      <x:c r="AG70" s="520"/>
      <x:c r="AH70" s="520"/>
      <x:c r="AI70" s="520"/>
      <x:c r="AJ70" s="520"/>
      <x:c r="AK70" s="520"/>
      <x:c r="AL70" s="520"/>
      <x:c r="AM70" s="520"/>
      <x:c r="AN70" s="520"/>
      <x:c r="AO70" s="521"/>
    </x:row>
    <x:row r="71" ht="19" customHeight="1">
      <x:c r="B71" s="510" t="str">
        <x:f>IF('CADASTRO DE LOJAS'!E73="SIM",'CADASTRO DE LOJAS'!B73,"")</x:f>
      </x:c>
      <x:c r="C71" s="520"/>
      <x:c r="D71" s="520"/>
      <x:c r="E71" s="520"/>
      <x:c r="F71" s="520"/>
      <x:c r="G71" s="520"/>
      <x:c r="H71" s="520"/>
      <x:c r="I71" s="520"/>
      <x:c r="J71" s="520"/>
      <x:c r="K71" s="520"/>
      <x:c r="L71" s="520"/>
      <x:c r="M71" s="520"/>
      <x:c r="N71" s="520"/>
      <x:c r="O71" s="520"/>
      <x:c r="P71" s="520"/>
      <x:c r="Q71" s="520"/>
      <x:c r="R71" s="520"/>
      <x:c r="S71" s="520"/>
      <x:c r="T71" s="520"/>
      <x:c r="U71" s="520"/>
      <x:c r="V71" s="520"/>
      <x:c r="W71" s="520"/>
      <x:c r="X71" s="520"/>
      <x:c r="Y71" s="520"/>
      <x:c r="Z71" s="520"/>
      <x:c r="AA71" s="520"/>
      <x:c r="AB71" s="520"/>
      <x:c r="AC71" s="520"/>
      <x:c r="AD71" s="520"/>
      <x:c r="AE71" s="520"/>
      <x:c r="AF71" s="520"/>
      <x:c r="AG71" s="520"/>
      <x:c r="AH71" s="520"/>
      <x:c r="AI71" s="520"/>
      <x:c r="AJ71" s="520"/>
      <x:c r="AK71" s="520"/>
      <x:c r="AL71" s="520"/>
      <x:c r="AM71" s="520"/>
      <x:c r="AN71" s="520"/>
      <x:c r="AO71" s="521"/>
    </x:row>
    <x:row r="72" ht="19" customHeight="1">
      <x:c r="B72" s="510" t="str">
        <x:f>IF('CADASTRO DE LOJAS'!E74="SIM",'CADASTRO DE LOJAS'!B74,"")</x:f>
      </x:c>
      <x:c r="C72" s="520"/>
      <x:c r="D72" s="520"/>
      <x:c r="E72" s="520"/>
      <x:c r="F72" s="520"/>
      <x:c r="G72" s="520"/>
      <x:c r="H72" s="520"/>
      <x:c r="I72" s="520"/>
      <x:c r="J72" s="520"/>
      <x:c r="K72" s="520"/>
      <x:c r="L72" s="520"/>
      <x:c r="M72" s="520"/>
      <x:c r="N72" s="520"/>
      <x:c r="O72" s="520"/>
      <x:c r="P72" s="520"/>
      <x:c r="Q72" s="520"/>
      <x:c r="R72" s="520"/>
      <x:c r="S72" s="520"/>
      <x:c r="T72" s="520"/>
      <x:c r="U72" s="520"/>
      <x:c r="V72" s="520"/>
      <x:c r="W72" s="520"/>
      <x:c r="X72" s="520"/>
      <x:c r="Y72" s="520"/>
      <x:c r="Z72" s="520"/>
      <x:c r="AA72" s="520"/>
      <x:c r="AB72" s="520"/>
      <x:c r="AC72" s="520"/>
      <x:c r="AD72" s="520"/>
      <x:c r="AE72" s="520"/>
      <x:c r="AF72" s="520"/>
      <x:c r="AG72" s="520"/>
      <x:c r="AH72" s="520"/>
      <x:c r="AI72" s="520"/>
      <x:c r="AJ72" s="520"/>
      <x:c r="AK72" s="520"/>
      <x:c r="AL72" s="520"/>
      <x:c r="AM72" s="520"/>
      <x:c r="AN72" s="520"/>
      <x:c r="AO72" s="521"/>
    </x:row>
    <x:row r="73" ht="19" customHeight="1">
      <x:c r="B73" s="510" t="str">
        <x:f>IF('CADASTRO DE LOJAS'!E75="SIM",'CADASTRO DE LOJAS'!B75,"")</x:f>
      </x:c>
      <x:c r="C73" s="520"/>
      <x:c r="D73" s="520"/>
      <x:c r="E73" s="520"/>
      <x:c r="F73" s="520"/>
      <x:c r="G73" s="520"/>
      <x:c r="H73" s="520"/>
      <x:c r="I73" s="520"/>
      <x:c r="J73" s="520"/>
      <x:c r="K73" s="520"/>
      <x:c r="L73" s="520"/>
      <x:c r="M73" s="520"/>
      <x:c r="N73" s="520"/>
      <x:c r="O73" s="520"/>
      <x:c r="P73" s="520"/>
      <x:c r="Q73" s="520"/>
      <x:c r="R73" s="520"/>
      <x:c r="S73" s="520"/>
      <x:c r="T73" s="520"/>
      <x:c r="U73" s="520"/>
      <x:c r="V73" s="520"/>
      <x:c r="W73" s="520"/>
      <x:c r="X73" s="520"/>
      <x:c r="Y73" s="520"/>
      <x:c r="Z73" s="520"/>
      <x:c r="AA73" s="520"/>
      <x:c r="AB73" s="520"/>
      <x:c r="AC73" s="520"/>
      <x:c r="AD73" s="520"/>
      <x:c r="AE73" s="520"/>
      <x:c r="AF73" s="520"/>
      <x:c r="AG73" s="520"/>
      <x:c r="AH73" s="520"/>
      <x:c r="AI73" s="520"/>
      <x:c r="AJ73" s="520"/>
      <x:c r="AK73" s="520"/>
      <x:c r="AL73" s="520"/>
      <x:c r="AM73" s="520"/>
      <x:c r="AN73" s="520"/>
      <x:c r="AO73" s="521"/>
    </x:row>
    <x:row r="74" ht="19" customHeight="1">
      <x:c r="B74" s="510" t="str">
        <x:f>IF('CADASTRO DE LOJAS'!E76="SIM",'CADASTRO DE LOJAS'!B76,"")</x:f>
      </x:c>
      <x:c r="C74" s="520"/>
      <x:c r="D74" s="520"/>
      <x:c r="E74" s="520"/>
      <x:c r="F74" s="520"/>
      <x:c r="G74" s="520"/>
      <x:c r="H74" s="520"/>
      <x:c r="I74" s="520"/>
      <x:c r="J74" s="520"/>
      <x:c r="K74" s="520"/>
      <x:c r="L74" s="520"/>
      <x:c r="M74" s="520"/>
      <x:c r="N74" s="520"/>
      <x:c r="O74" s="520"/>
      <x:c r="P74" s="520"/>
      <x:c r="Q74" s="520"/>
      <x:c r="R74" s="520"/>
      <x:c r="S74" s="520"/>
      <x:c r="T74" s="520"/>
      <x:c r="U74" s="520"/>
      <x:c r="V74" s="520"/>
      <x:c r="W74" s="520"/>
      <x:c r="X74" s="520"/>
      <x:c r="Y74" s="520"/>
      <x:c r="Z74" s="520"/>
      <x:c r="AA74" s="520"/>
      <x:c r="AB74" s="520"/>
      <x:c r="AC74" s="520"/>
      <x:c r="AD74" s="520"/>
      <x:c r="AE74" s="520"/>
      <x:c r="AF74" s="520"/>
      <x:c r="AG74" s="520"/>
      <x:c r="AH74" s="520"/>
      <x:c r="AI74" s="520"/>
      <x:c r="AJ74" s="520"/>
      <x:c r="AK74" s="520"/>
      <x:c r="AL74" s="520"/>
      <x:c r="AM74" s="520"/>
      <x:c r="AN74" s="520"/>
      <x:c r="AO74" s="521"/>
    </x:row>
    <x:row r="75" ht="19" customHeight="1">
      <x:c r="B75" s="510" t="str">
        <x:f>IF('CADASTRO DE LOJAS'!E77="SIM",'CADASTRO DE LOJAS'!B77,"")</x:f>
      </x:c>
      <x:c r="C75" s="520"/>
      <x:c r="D75" s="520"/>
      <x:c r="E75" s="520"/>
      <x:c r="F75" s="520"/>
      <x:c r="G75" s="520"/>
      <x:c r="H75" s="520"/>
      <x:c r="I75" s="520"/>
      <x:c r="J75" s="520"/>
      <x:c r="K75" s="520"/>
      <x:c r="L75" s="520"/>
      <x:c r="M75" s="520"/>
      <x:c r="N75" s="520"/>
      <x:c r="O75" s="520"/>
      <x:c r="P75" s="520"/>
      <x:c r="Q75" s="520"/>
      <x:c r="R75" s="520"/>
      <x:c r="S75" s="520"/>
      <x:c r="T75" s="520"/>
      <x:c r="U75" s="520"/>
      <x:c r="V75" s="520"/>
      <x:c r="W75" s="520"/>
      <x:c r="X75" s="520"/>
      <x:c r="Y75" s="520"/>
      <x:c r="Z75" s="520"/>
      <x:c r="AA75" s="520"/>
      <x:c r="AB75" s="520"/>
      <x:c r="AC75" s="520"/>
      <x:c r="AD75" s="520"/>
      <x:c r="AE75" s="520"/>
      <x:c r="AF75" s="520"/>
      <x:c r="AG75" s="520"/>
      <x:c r="AH75" s="520"/>
      <x:c r="AI75" s="520"/>
      <x:c r="AJ75" s="520"/>
      <x:c r="AK75" s="520"/>
      <x:c r="AL75" s="520"/>
      <x:c r="AM75" s="520"/>
      <x:c r="AN75" s="520"/>
      <x:c r="AO75" s="521"/>
    </x:row>
    <x:row r="76" ht="19" customHeight="1">
      <x:c r="B76" s="510" t="str">
        <x:f>IF('CADASTRO DE LOJAS'!E78="SIM",'CADASTRO DE LOJAS'!B78,"")</x:f>
      </x:c>
      <x:c r="C76" s="520"/>
      <x:c r="D76" s="520"/>
      <x:c r="E76" s="520"/>
      <x:c r="F76" s="520"/>
      <x:c r="G76" s="520"/>
      <x:c r="H76" s="520"/>
      <x:c r="I76" s="520"/>
      <x:c r="J76" s="520"/>
      <x:c r="K76" s="520"/>
      <x:c r="L76" s="520"/>
      <x:c r="M76" s="520"/>
      <x:c r="N76" s="520"/>
      <x:c r="O76" s="520"/>
      <x:c r="P76" s="520"/>
      <x:c r="Q76" s="520"/>
      <x:c r="R76" s="520"/>
      <x:c r="S76" s="520"/>
      <x:c r="T76" s="520"/>
      <x:c r="U76" s="520"/>
      <x:c r="V76" s="520"/>
      <x:c r="W76" s="520"/>
      <x:c r="X76" s="520"/>
      <x:c r="Y76" s="520"/>
      <x:c r="Z76" s="520"/>
      <x:c r="AA76" s="520"/>
      <x:c r="AB76" s="520"/>
      <x:c r="AC76" s="520"/>
      <x:c r="AD76" s="520"/>
      <x:c r="AE76" s="520"/>
      <x:c r="AF76" s="520"/>
      <x:c r="AG76" s="520"/>
      <x:c r="AH76" s="520"/>
      <x:c r="AI76" s="520"/>
      <x:c r="AJ76" s="520"/>
      <x:c r="AK76" s="520"/>
      <x:c r="AL76" s="520"/>
      <x:c r="AM76" s="520"/>
      <x:c r="AN76" s="520"/>
      <x:c r="AO76" s="521"/>
    </x:row>
    <x:row r="77" ht="19" customHeight="1">
      <x:c r="B77" s="510" t="str">
        <x:f>IF('CADASTRO DE LOJAS'!E79="SIM",'CADASTRO DE LOJAS'!B79,"")</x:f>
      </x:c>
      <x:c r="C77" s="520"/>
      <x:c r="D77" s="520"/>
      <x:c r="E77" s="520"/>
      <x:c r="F77" s="520"/>
      <x:c r="G77" s="520"/>
      <x:c r="H77" s="520"/>
      <x:c r="I77" s="520"/>
      <x:c r="J77" s="520"/>
      <x:c r="K77" s="520"/>
      <x:c r="L77" s="520"/>
      <x:c r="M77" s="520"/>
      <x:c r="N77" s="520"/>
      <x:c r="O77" s="520"/>
      <x:c r="P77" s="520"/>
      <x:c r="Q77" s="520"/>
      <x:c r="R77" s="520"/>
      <x:c r="S77" s="520"/>
      <x:c r="T77" s="520"/>
      <x:c r="U77" s="520"/>
      <x:c r="V77" s="520"/>
      <x:c r="W77" s="520"/>
      <x:c r="X77" s="520"/>
      <x:c r="Y77" s="520"/>
      <x:c r="Z77" s="520"/>
      <x:c r="AA77" s="520"/>
      <x:c r="AB77" s="520"/>
      <x:c r="AC77" s="520"/>
      <x:c r="AD77" s="520"/>
      <x:c r="AE77" s="520"/>
      <x:c r="AF77" s="520"/>
      <x:c r="AG77" s="520"/>
      <x:c r="AH77" s="520"/>
      <x:c r="AI77" s="520"/>
      <x:c r="AJ77" s="520"/>
      <x:c r="AK77" s="520"/>
      <x:c r="AL77" s="520"/>
      <x:c r="AM77" s="520"/>
      <x:c r="AN77" s="520"/>
      <x:c r="AO77" s="521"/>
    </x:row>
    <x:row r="78" ht="19" customHeight="1">
      <x:c r="B78" s="510" t="str">
        <x:f>IF('CADASTRO DE LOJAS'!E80="SIM",'CADASTRO DE LOJAS'!B80,"")</x:f>
      </x:c>
      <x:c r="C78" s="520"/>
      <x:c r="D78" s="520"/>
      <x:c r="E78" s="520"/>
      <x:c r="F78" s="520"/>
      <x:c r="G78" s="520"/>
      <x:c r="H78" s="520"/>
      <x:c r="I78" s="520"/>
      <x:c r="J78" s="520"/>
      <x:c r="K78" s="520"/>
      <x:c r="L78" s="520"/>
      <x:c r="M78" s="520"/>
      <x:c r="N78" s="520"/>
      <x:c r="O78" s="520"/>
      <x:c r="P78" s="520"/>
      <x:c r="Q78" s="520"/>
      <x:c r="R78" s="520"/>
      <x:c r="S78" s="520"/>
      <x:c r="T78" s="520"/>
      <x:c r="U78" s="520"/>
      <x:c r="V78" s="520"/>
      <x:c r="W78" s="520"/>
      <x:c r="X78" s="520"/>
      <x:c r="Y78" s="520"/>
      <x:c r="Z78" s="520"/>
      <x:c r="AA78" s="520"/>
      <x:c r="AB78" s="520"/>
      <x:c r="AC78" s="520"/>
      <x:c r="AD78" s="520"/>
      <x:c r="AE78" s="520"/>
      <x:c r="AF78" s="520"/>
      <x:c r="AG78" s="520"/>
      <x:c r="AH78" s="520"/>
      <x:c r="AI78" s="520"/>
      <x:c r="AJ78" s="520"/>
      <x:c r="AK78" s="520"/>
      <x:c r="AL78" s="520"/>
      <x:c r="AM78" s="520"/>
      <x:c r="AN78" s="520"/>
      <x:c r="AO78" s="521"/>
    </x:row>
    <x:row r="79" ht="19" customHeight="1">
      <x:c r="B79" s="510" t="str">
        <x:f>IF('CADASTRO DE LOJAS'!E81="SIM",'CADASTRO DE LOJAS'!B81,"")</x:f>
      </x:c>
      <x:c r="C79" s="520"/>
      <x:c r="D79" s="520"/>
      <x:c r="E79" s="520"/>
      <x:c r="F79" s="520"/>
      <x:c r="G79" s="520"/>
      <x:c r="H79" s="520"/>
      <x:c r="I79" s="520"/>
      <x:c r="J79" s="520"/>
      <x:c r="K79" s="520"/>
      <x:c r="L79" s="520"/>
      <x:c r="M79" s="520"/>
      <x:c r="N79" s="520"/>
      <x:c r="O79" s="520"/>
      <x:c r="P79" s="520"/>
      <x:c r="Q79" s="520"/>
      <x:c r="R79" s="520"/>
      <x:c r="S79" s="520"/>
      <x:c r="T79" s="520"/>
      <x:c r="U79" s="520"/>
      <x:c r="V79" s="520"/>
      <x:c r="W79" s="520"/>
      <x:c r="X79" s="520"/>
      <x:c r="Y79" s="520"/>
      <x:c r="Z79" s="520"/>
      <x:c r="AA79" s="520"/>
      <x:c r="AB79" s="520"/>
      <x:c r="AC79" s="520"/>
      <x:c r="AD79" s="520"/>
      <x:c r="AE79" s="520"/>
      <x:c r="AF79" s="520"/>
      <x:c r="AG79" s="520"/>
      <x:c r="AH79" s="520"/>
      <x:c r="AI79" s="520"/>
      <x:c r="AJ79" s="520"/>
      <x:c r="AK79" s="520"/>
      <x:c r="AL79" s="520"/>
      <x:c r="AM79" s="520"/>
      <x:c r="AN79" s="520"/>
      <x:c r="AO79" s="521"/>
    </x:row>
    <x:row r="80" ht="19" customHeight="1">
      <x:c r="B80" s="510" t="str">
        <x:f>IF('CADASTRO DE LOJAS'!E82="SIM",'CADASTRO DE LOJAS'!B82,"")</x:f>
      </x:c>
      <x:c r="C80" s="520"/>
      <x:c r="D80" s="520"/>
      <x:c r="E80" s="520"/>
      <x:c r="F80" s="520"/>
      <x:c r="G80" s="520"/>
      <x:c r="H80" s="520"/>
      <x:c r="I80" s="520"/>
      <x:c r="J80" s="520"/>
      <x:c r="K80" s="520"/>
      <x:c r="L80" s="520"/>
      <x:c r="M80" s="520"/>
      <x:c r="N80" s="520"/>
      <x:c r="O80" s="520"/>
      <x:c r="P80" s="520"/>
      <x:c r="Q80" s="520"/>
      <x:c r="R80" s="520"/>
      <x:c r="S80" s="520"/>
      <x:c r="T80" s="520"/>
      <x:c r="U80" s="520"/>
      <x:c r="V80" s="520"/>
      <x:c r="W80" s="520"/>
      <x:c r="X80" s="520"/>
      <x:c r="Y80" s="520"/>
      <x:c r="Z80" s="520"/>
      <x:c r="AA80" s="520"/>
      <x:c r="AB80" s="520"/>
      <x:c r="AC80" s="520"/>
      <x:c r="AD80" s="520"/>
      <x:c r="AE80" s="520"/>
      <x:c r="AF80" s="520"/>
      <x:c r="AG80" s="520"/>
      <x:c r="AH80" s="520"/>
      <x:c r="AI80" s="520"/>
      <x:c r="AJ80" s="520"/>
      <x:c r="AK80" s="520"/>
      <x:c r="AL80" s="520"/>
      <x:c r="AM80" s="520"/>
      <x:c r="AN80" s="520"/>
      <x:c r="AO80" s="521"/>
    </x:row>
    <x:row r="81" ht="19" customHeight="1">
      <x:c r="B81" s="510" t="str">
        <x:f>IF('CADASTRO DE LOJAS'!E83="SIM",'CADASTRO DE LOJAS'!B83,"")</x:f>
      </x:c>
      <x:c r="C81" s="520"/>
      <x:c r="D81" s="520"/>
      <x:c r="E81" s="520"/>
      <x:c r="F81" s="520"/>
      <x:c r="G81" s="520"/>
      <x:c r="H81" s="520"/>
      <x:c r="I81" s="520"/>
      <x:c r="J81" s="520"/>
      <x:c r="K81" s="520"/>
      <x:c r="L81" s="520"/>
      <x:c r="M81" s="520"/>
      <x:c r="N81" s="520"/>
      <x:c r="O81" s="520"/>
      <x:c r="P81" s="520"/>
      <x:c r="Q81" s="520"/>
      <x:c r="R81" s="520"/>
      <x:c r="S81" s="520"/>
      <x:c r="T81" s="520"/>
      <x:c r="U81" s="520"/>
      <x:c r="V81" s="520"/>
      <x:c r="W81" s="520"/>
      <x:c r="X81" s="520"/>
      <x:c r="Y81" s="520"/>
      <x:c r="Z81" s="520"/>
      <x:c r="AA81" s="520"/>
      <x:c r="AB81" s="520"/>
      <x:c r="AC81" s="520"/>
      <x:c r="AD81" s="520"/>
      <x:c r="AE81" s="520"/>
      <x:c r="AF81" s="520"/>
      <x:c r="AG81" s="520"/>
      <x:c r="AH81" s="520"/>
      <x:c r="AI81" s="520"/>
      <x:c r="AJ81" s="520"/>
      <x:c r="AK81" s="520"/>
      <x:c r="AL81" s="520"/>
      <x:c r="AM81" s="520"/>
      <x:c r="AN81" s="520"/>
      <x:c r="AO81" s="521"/>
    </x:row>
    <x:row r="82" ht="19" customHeight="1">
      <x:c r="B82" s="510" t="str">
        <x:f>IF('CADASTRO DE LOJAS'!E84="SIM",'CADASTRO DE LOJAS'!B84,"")</x:f>
      </x:c>
      <x:c r="C82" s="520"/>
      <x:c r="D82" s="520"/>
      <x:c r="E82" s="520"/>
      <x:c r="F82" s="520"/>
      <x:c r="G82" s="520"/>
      <x:c r="H82" s="520"/>
      <x:c r="I82" s="520"/>
      <x:c r="J82" s="520"/>
      <x:c r="K82" s="520"/>
      <x:c r="L82" s="520"/>
      <x:c r="M82" s="520"/>
      <x:c r="N82" s="520"/>
      <x:c r="O82" s="520"/>
      <x:c r="P82" s="520"/>
      <x:c r="Q82" s="520"/>
      <x:c r="R82" s="520"/>
      <x:c r="S82" s="520"/>
      <x:c r="T82" s="520"/>
      <x:c r="U82" s="520"/>
      <x:c r="V82" s="520"/>
      <x:c r="W82" s="520"/>
      <x:c r="X82" s="520"/>
      <x:c r="Y82" s="520"/>
      <x:c r="Z82" s="520"/>
      <x:c r="AA82" s="520"/>
      <x:c r="AB82" s="520"/>
      <x:c r="AC82" s="520"/>
      <x:c r="AD82" s="520"/>
      <x:c r="AE82" s="520"/>
      <x:c r="AF82" s="520"/>
      <x:c r="AG82" s="520"/>
      <x:c r="AH82" s="520"/>
      <x:c r="AI82" s="520"/>
      <x:c r="AJ82" s="520"/>
      <x:c r="AK82" s="520"/>
      <x:c r="AL82" s="520"/>
      <x:c r="AM82" s="520"/>
      <x:c r="AN82" s="520"/>
      <x:c r="AO82" s="521"/>
    </x:row>
    <x:row r="83" ht="19" customHeight="1">
      <x:c r="B83" s="510" t="str">
        <x:f>IF('CADASTRO DE LOJAS'!E85="SIM",'CADASTRO DE LOJAS'!B85,"")</x:f>
      </x:c>
      <x:c r="C83" s="520"/>
      <x:c r="D83" s="520"/>
      <x:c r="E83" s="520"/>
      <x:c r="F83" s="520"/>
      <x:c r="G83" s="520"/>
      <x:c r="H83" s="520"/>
      <x:c r="I83" s="520"/>
      <x:c r="J83" s="520"/>
      <x:c r="K83" s="520"/>
      <x:c r="L83" s="520"/>
      <x:c r="M83" s="520"/>
      <x:c r="N83" s="520"/>
      <x:c r="O83" s="520"/>
      <x:c r="P83" s="520"/>
      <x:c r="Q83" s="520"/>
      <x:c r="R83" s="520"/>
      <x:c r="S83" s="520"/>
      <x:c r="T83" s="520"/>
      <x:c r="U83" s="520"/>
      <x:c r="V83" s="520"/>
      <x:c r="W83" s="520"/>
      <x:c r="X83" s="520"/>
      <x:c r="Y83" s="520"/>
      <x:c r="Z83" s="520"/>
      <x:c r="AA83" s="520"/>
      <x:c r="AB83" s="520"/>
      <x:c r="AC83" s="520"/>
      <x:c r="AD83" s="520"/>
      <x:c r="AE83" s="520"/>
      <x:c r="AF83" s="520"/>
      <x:c r="AG83" s="520"/>
      <x:c r="AH83" s="520"/>
      <x:c r="AI83" s="520"/>
      <x:c r="AJ83" s="520"/>
      <x:c r="AK83" s="520"/>
      <x:c r="AL83" s="520"/>
      <x:c r="AM83" s="520"/>
      <x:c r="AN83" s="520"/>
      <x:c r="AO83" s="521"/>
    </x:row>
    <x:row r="84" ht="19" customHeight="1">
      <x:c r="B84" s="510" t="str">
        <x:f>IF('CADASTRO DE LOJAS'!E86="SIM",'CADASTRO DE LOJAS'!B86,"")</x:f>
      </x:c>
      <x:c r="C84" s="520"/>
      <x:c r="D84" s="520"/>
      <x:c r="E84" s="520"/>
      <x:c r="F84" s="520"/>
      <x:c r="G84" s="520"/>
      <x:c r="H84" s="520"/>
      <x:c r="I84" s="520"/>
      <x:c r="J84" s="520"/>
      <x:c r="K84" s="520"/>
      <x:c r="L84" s="520"/>
      <x:c r="M84" s="520"/>
      <x:c r="N84" s="520"/>
      <x:c r="O84" s="520"/>
      <x:c r="P84" s="520"/>
      <x:c r="Q84" s="520"/>
      <x:c r="R84" s="520"/>
      <x:c r="S84" s="520"/>
      <x:c r="T84" s="520"/>
      <x:c r="U84" s="520"/>
      <x:c r="V84" s="520"/>
      <x:c r="W84" s="520"/>
      <x:c r="X84" s="520"/>
      <x:c r="Y84" s="520"/>
      <x:c r="Z84" s="520"/>
      <x:c r="AA84" s="520"/>
      <x:c r="AB84" s="520"/>
      <x:c r="AC84" s="520"/>
      <x:c r="AD84" s="520"/>
      <x:c r="AE84" s="520"/>
      <x:c r="AF84" s="520"/>
      <x:c r="AG84" s="520"/>
      <x:c r="AH84" s="520"/>
      <x:c r="AI84" s="520"/>
      <x:c r="AJ84" s="520"/>
      <x:c r="AK84" s="520"/>
      <x:c r="AL84" s="520"/>
      <x:c r="AM84" s="520"/>
      <x:c r="AN84" s="520"/>
      <x:c r="AO84" s="521"/>
    </x:row>
    <x:row r="85" ht="19" customHeight="1">
      <x:c r="B85" s="510" t="str">
        <x:f>IF('CADASTRO DE LOJAS'!E87="SIM",'CADASTRO DE LOJAS'!B87,"")</x:f>
      </x:c>
      <x:c r="C85" s="520"/>
      <x:c r="D85" s="520"/>
      <x:c r="E85" s="520"/>
      <x:c r="F85" s="520"/>
      <x:c r="G85" s="520"/>
      <x:c r="H85" s="520"/>
      <x:c r="I85" s="520"/>
      <x:c r="J85" s="520"/>
      <x:c r="K85" s="520"/>
      <x:c r="L85" s="520"/>
      <x:c r="M85" s="520"/>
      <x:c r="N85" s="520"/>
      <x:c r="O85" s="520"/>
      <x:c r="P85" s="520"/>
      <x:c r="Q85" s="520"/>
      <x:c r="R85" s="520"/>
      <x:c r="S85" s="520"/>
      <x:c r="T85" s="520"/>
      <x:c r="U85" s="520"/>
      <x:c r="V85" s="520"/>
      <x:c r="W85" s="520"/>
      <x:c r="X85" s="520"/>
      <x:c r="Y85" s="520"/>
      <x:c r="Z85" s="520"/>
      <x:c r="AA85" s="520"/>
      <x:c r="AB85" s="520"/>
      <x:c r="AC85" s="520"/>
      <x:c r="AD85" s="520"/>
      <x:c r="AE85" s="520"/>
      <x:c r="AF85" s="520"/>
      <x:c r="AG85" s="520"/>
      <x:c r="AH85" s="520"/>
      <x:c r="AI85" s="520"/>
      <x:c r="AJ85" s="520"/>
      <x:c r="AK85" s="520"/>
      <x:c r="AL85" s="520"/>
      <x:c r="AM85" s="520"/>
      <x:c r="AN85" s="520"/>
      <x:c r="AO85" s="521"/>
    </x:row>
    <x:row r="86" ht="19" customHeight="1">
      <x:c r="B86" s="510" t="str">
        <x:f>IF('CADASTRO DE LOJAS'!E88="SIM",'CADASTRO DE LOJAS'!B88,"")</x:f>
      </x:c>
      <x:c r="C86" s="520"/>
      <x:c r="D86" s="520"/>
      <x:c r="E86" s="520"/>
      <x:c r="F86" s="520"/>
      <x:c r="G86" s="520"/>
      <x:c r="H86" s="520"/>
      <x:c r="I86" s="520"/>
      <x:c r="J86" s="520"/>
      <x:c r="K86" s="520"/>
      <x:c r="L86" s="520"/>
      <x:c r="M86" s="520"/>
      <x:c r="N86" s="520"/>
      <x:c r="O86" s="520"/>
      <x:c r="P86" s="520"/>
      <x:c r="Q86" s="520"/>
      <x:c r="R86" s="520"/>
      <x:c r="S86" s="520"/>
      <x:c r="T86" s="520"/>
      <x:c r="U86" s="520"/>
      <x:c r="V86" s="520"/>
      <x:c r="W86" s="520"/>
      <x:c r="X86" s="520"/>
      <x:c r="Y86" s="520"/>
      <x:c r="Z86" s="520"/>
      <x:c r="AA86" s="520"/>
      <x:c r="AB86" s="520"/>
      <x:c r="AC86" s="520"/>
      <x:c r="AD86" s="520"/>
      <x:c r="AE86" s="520"/>
      <x:c r="AF86" s="520"/>
      <x:c r="AG86" s="520"/>
      <x:c r="AH86" s="520"/>
      <x:c r="AI86" s="520"/>
      <x:c r="AJ86" s="520"/>
      <x:c r="AK86" s="520"/>
      <x:c r="AL86" s="520"/>
      <x:c r="AM86" s="520"/>
      <x:c r="AN86" s="520"/>
      <x:c r="AO86" s="521"/>
    </x:row>
    <x:row r="87" ht="19" customHeight="1">
      <x:c r="B87" s="510" t="str">
        <x:f>IF('CADASTRO DE LOJAS'!E89="SIM",'CADASTRO DE LOJAS'!B89,"")</x:f>
      </x:c>
      <x:c r="C87" s="520"/>
      <x:c r="D87" s="520"/>
      <x:c r="E87" s="520"/>
      <x:c r="F87" s="520"/>
      <x:c r="G87" s="520"/>
      <x:c r="H87" s="520"/>
      <x:c r="I87" s="520"/>
      <x:c r="J87" s="520"/>
      <x:c r="K87" s="520"/>
      <x:c r="L87" s="520"/>
      <x:c r="M87" s="520"/>
      <x:c r="N87" s="520"/>
      <x:c r="O87" s="520"/>
      <x:c r="P87" s="520"/>
      <x:c r="Q87" s="520"/>
      <x:c r="R87" s="520"/>
      <x:c r="S87" s="520"/>
      <x:c r="T87" s="520"/>
      <x:c r="U87" s="520"/>
      <x:c r="V87" s="520"/>
      <x:c r="W87" s="520"/>
      <x:c r="X87" s="520"/>
      <x:c r="Y87" s="520"/>
      <x:c r="Z87" s="520"/>
      <x:c r="AA87" s="520"/>
      <x:c r="AB87" s="520"/>
      <x:c r="AC87" s="520"/>
      <x:c r="AD87" s="520"/>
      <x:c r="AE87" s="520"/>
      <x:c r="AF87" s="520"/>
      <x:c r="AG87" s="520"/>
      <x:c r="AH87" s="520"/>
      <x:c r="AI87" s="520"/>
      <x:c r="AJ87" s="520"/>
      <x:c r="AK87" s="520"/>
      <x:c r="AL87" s="520"/>
      <x:c r="AM87" s="520"/>
      <x:c r="AN87" s="520"/>
      <x:c r="AO87" s="521"/>
    </x:row>
    <x:row r="88" ht="19" customHeight="1">
      <x:c r="B88" s="510" t="str">
        <x:f>IF('CADASTRO DE LOJAS'!E90="SIM",'CADASTRO DE LOJAS'!B90,"")</x:f>
      </x:c>
      <x:c r="C88" s="520"/>
      <x:c r="D88" s="520"/>
      <x:c r="E88" s="520"/>
      <x:c r="F88" s="520"/>
      <x:c r="G88" s="520"/>
      <x:c r="H88" s="520"/>
      <x:c r="I88" s="520"/>
      <x:c r="J88" s="520"/>
      <x:c r="K88" s="520"/>
      <x:c r="L88" s="520"/>
      <x:c r="M88" s="520"/>
      <x:c r="N88" s="520"/>
      <x:c r="O88" s="520"/>
      <x:c r="P88" s="520"/>
      <x:c r="Q88" s="520"/>
      <x:c r="R88" s="520"/>
      <x:c r="S88" s="520"/>
      <x:c r="T88" s="520"/>
      <x:c r="U88" s="520"/>
      <x:c r="V88" s="520"/>
      <x:c r="W88" s="520"/>
      <x:c r="X88" s="520"/>
      <x:c r="Y88" s="520"/>
      <x:c r="Z88" s="520"/>
      <x:c r="AA88" s="520"/>
      <x:c r="AB88" s="520"/>
      <x:c r="AC88" s="520"/>
      <x:c r="AD88" s="520"/>
      <x:c r="AE88" s="520"/>
      <x:c r="AF88" s="520"/>
      <x:c r="AG88" s="520"/>
      <x:c r="AH88" s="520"/>
      <x:c r="AI88" s="520"/>
      <x:c r="AJ88" s="520"/>
      <x:c r="AK88" s="520"/>
      <x:c r="AL88" s="520"/>
      <x:c r="AM88" s="520"/>
      <x:c r="AN88" s="520"/>
      <x:c r="AO88" s="521"/>
    </x:row>
    <x:row r="89" ht="19" customHeight="1">
      <x:c r="B89" s="510" t="str">
        <x:f>IF('CADASTRO DE LOJAS'!E91="SIM",'CADASTRO DE LOJAS'!B91,"")</x:f>
      </x:c>
      <x:c r="C89" s="520"/>
      <x:c r="D89" s="520"/>
      <x:c r="E89" s="520"/>
      <x:c r="F89" s="520"/>
      <x:c r="G89" s="520"/>
      <x:c r="H89" s="520"/>
      <x:c r="I89" s="520"/>
      <x:c r="J89" s="520"/>
      <x:c r="K89" s="520"/>
      <x:c r="L89" s="520"/>
      <x:c r="M89" s="520"/>
      <x:c r="N89" s="520"/>
      <x:c r="O89" s="520"/>
      <x:c r="P89" s="520"/>
      <x:c r="Q89" s="520"/>
      <x:c r="R89" s="520"/>
      <x:c r="S89" s="520"/>
      <x:c r="T89" s="520"/>
      <x:c r="U89" s="520"/>
      <x:c r="V89" s="520"/>
      <x:c r="W89" s="520"/>
      <x:c r="X89" s="520"/>
      <x:c r="Y89" s="520"/>
      <x:c r="Z89" s="520"/>
      <x:c r="AA89" s="520"/>
      <x:c r="AB89" s="520"/>
      <x:c r="AC89" s="520"/>
      <x:c r="AD89" s="520"/>
      <x:c r="AE89" s="520"/>
      <x:c r="AF89" s="520"/>
      <x:c r="AG89" s="520"/>
      <x:c r="AH89" s="520"/>
      <x:c r="AI89" s="520"/>
      <x:c r="AJ89" s="520"/>
      <x:c r="AK89" s="520"/>
      <x:c r="AL89" s="520"/>
      <x:c r="AM89" s="520"/>
      <x:c r="AN89" s="520"/>
      <x:c r="AO89" s="521"/>
    </x:row>
    <x:row r="90" ht="19" customHeight="1">
      <x:c r="B90" s="510" t="str">
        <x:f>IF('CADASTRO DE LOJAS'!E92="SIM",'CADASTRO DE LOJAS'!B92,"")</x:f>
      </x:c>
      <x:c r="C90" s="520"/>
      <x:c r="D90" s="520"/>
      <x:c r="E90" s="520"/>
      <x:c r="F90" s="520"/>
      <x:c r="G90" s="520"/>
      <x:c r="H90" s="520"/>
      <x:c r="I90" s="520"/>
      <x:c r="J90" s="520"/>
      <x:c r="K90" s="520"/>
      <x:c r="L90" s="520"/>
      <x:c r="M90" s="520"/>
      <x:c r="N90" s="520"/>
      <x:c r="O90" s="520"/>
      <x:c r="P90" s="520"/>
      <x:c r="Q90" s="520"/>
      <x:c r="R90" s="520"/>
      <x:c r="S90" s="520"/>
      <x:c r="T90" s="520"/>
      <x:c r="U90" s="520"/>
      <x:c r="V90" s="520"/>
      <x:c r="W90" s="520"/>
      <x:c r="X90" s="520"/>
      <x:c r="Y90" s="520"/>
      <x:c r="Z90" s="520"/>
      <x:c r="AA90" s="520"/>
      <x:c r="AB90" s="520"/>
      <x:c r="AC90" s="520"/>
      <x:c r="AD90" s="520"/>
      <x:c r="AE90" s="520"/>
      <x:c r="AF90" s="520"/>
      <x:c r="AG90" s="520"/>
      <x:c r="AH90" s="520"/>
      <x:c r="AI90" s="520"/>
      <x:c r="AJ90" s="520"/>
      <x:c r="AK90" s="520"/>
      <x:c r="AL90" s="520"/>
      <x:c r="AM90" s="520"/>
      <x:c r="AN90" s="520"/>
      <x:c r="AO90" s="521"/>
    </x:row>
    <x:row r="91" ht="19" customHeight="1">
      <x:c r="B91" s="510" t="str">
        <x:f>IF('CADASTRO DE LOJAS'!E93="SIM",'CADASTRO DE LOJAS'!B93,"")</x:f>
      </x:c>
      <x:c r="C91" s="520"/>
      <x:c r="D91" s="520"/>
      <x:c r="E91" s="520"/>
      <x:c r="F91" s="520"/>
      <x:c r="G91" s="520"/>
      <x:c r="H91" s="520"/>
      <x:c r="I91" s="520"/>
      <x:c r="J91" s="520"/>
      <x:c r="K91" s="520"/>
      <x:c r="L91" s="520"/>
      <x:c r="M91" s="520"/>
      <x:c r="N91" s="520"/>
      <x:c r="O91" s="520"/>
      <x:c r="P91" s="520"/>
      <x:c r="Q91" s="520"/>
      <x:c r="R91" s="520"/>
      <x:c r="S91" s="520"/>
      <x:c r="T91" s="520"/>
      <x:c r="U91" s="520"/>
      <x:c r="V91" s="520"/>
      <x:c r="W91" s="520"/>
      <x:c r="X91" s="520"/>
      <x:c r="Y91" s="520"/>
      <x:c r="Z91" s="520"/>
      <x:c r="AA91" s="520"/>
      <x:c r="AB91" s="520"/>
      <x:c r="AC91" s="520"/>
      <x:c r="AD91" s="520"/>
      <x:c r="AE91" s="520"/>
      <x:c r="AF91" s="520"/>
      <x:c r="AG91" s="520"/>
      <x:c r="AH91" s="520"/>
      <x:c r="AI91" s="520"/>
      <x:c r="AJ91" s="520"/>
      <x:c r="AK91" s="520"/>
      <x:c r="AL91" s="520"/>
      <x:c r="AM91" s="520"/>
      <x:c r="AN91" s="520"/>
      <x:c r="AO91" s="521"/>
    </x:row>
    <x:row r="92" ht="19" customHeight="1">
      <x:c r="B92" s="510" t="str">
        <x:f>IF('CADASTRO DE LOJAS'!E94="SIM",'CADASTRO DE LOJAS'!B94,"")</x:f>
      </x:c>
      <x:c r="C92" s="520"/>
      <x:c r="D92" s="520"/>
      <x:c r="E92" s="520"/>
      <x:c r="F92" s="520"/>
      <x:c r="G92" s="520"/>
      <x:c r="H92" s="520"/>
      <x:c r="I92" s="520"/>
      <x:c r="J92" s="520"/>
      <x:c r="K92" s="520"/>
      <x:c r="L92" s="520"/>
      <x:c r="M92" s="520"/>
      <x:c r="N92" s="520"/>
      <x:c r="O92" s="520"/>
      <x:c r="P92" s="520"/>
      <x:c r="Q92" s="520"/>
      <x:c r="R92" s="520"/>
      <x:c r="S92" s="520"/>
      <x:c r="T92" s="520"/>
      <x:c r="U92" s="520"/>
      <x:c r="V92" s="520"/>
      <x:c r="W92" s="520"/>
      <x:c r="X92" s="520"/>
      <x:c r="Y92" s="520"/>
      <x:c r="Z92" s="520"/>
      <x:c r="AA92" s="520"/>
      <x:c r="AB92" s="520"/>
      <x:c r="AC92" s="520"/>
      <x:c r="AD92" s="520"/>
      <x:c r="AE92" s="520"/>
      <x:c r="AF92" s="520"/>
      <x:c r="AG92" s="520"/>
      <x:c r="AH92" s="520"/>
      <x:c r="AI92" s="520"/>
      <x:c r="AJ92" s="520"/>
      <x:c r="AK92" s="520"/>
      <x:c r="AL92" s="520"/>
      <x:c r="AM92" s="520"/>
      <x:c r="AN92" s="520"/>
      <x:c r="AO92" s="521"/>
    </x:row>
    <x:row r="93" ht="19" customHeight="1">
      <x:c r="B93" s="510" t="str">
        <x:f>IF('CADASTRO DE LOJAS'!E95="SIM",'CADASTRO DE LOJAS'!B95,"")</x:f>
      </x:c>
      <x:c r="C93" s="520"/>
      <x:c r="D93" s="520"/>
      <x:c r="E93" s="520"/>
      <x:c r="F93" s="520"/>
      <x:c r="G93" s="520"/>
      <x:c r="H93" s="520"/>
      <x:c r="I93" s="520"/>
      <x:c r="J93" s="520"/>
      <x:c r="K93" s="520"/>
      <x:c r="L93" s="520"/>
      <x:c r="M93" s="520"/>
      <x:c r="N93" s="520"/>
      <x:c r="O93" s="520"/>
      <x:c r="P93" s="520"/>
      <x:c r="Q93" s="520"/>
      <x:c r="R93" s="520"/>
      <x:c r="S93" s="520"/>
      <x:c r="T93" s="520"/>
      <x:c r="U93" s="520"/>
      <x:c r="V93" s="520"/>
      <x:c r="W93" s="520"/>
      <x:c r="X93" s="520"/>
      <x:c r="Y93" s="520"/>
      <x:c r="Z93" s="520"/>
      <x:c r="AA93" s="520"/>
      <x:c r="AB93" s="520"/>
      <x:c r="AC93" s="520"/>
      <x:c r="AD93" s="520"/>
      <x:c r="AE93" s="520"/>
      <x:c r="AF93" s="520"/>
      <x:c r="AG93" s="520"/>
      <x:c r="AH93" s="520"/>
      <x:c r="AI93" s="520"/>
      <x:c r="AJ93" s="520"/>
      <x:c r="AK93" s="520"/>
      <x:c r="AL93" s="520"/>
      <x:c r="AM93" s="520"/>
      <x:c r="AN93" s="520"/>
      <x:c r="AO93" s="521"/>
    </x:row>
    <x:row r="94" ht="19" customHeight="1">
      <x:c r="B94" s="510" t="str">
        <x:f>IF('CADASTRO DE LOJAS'!E96="SIM",'CADASTRO DE LOJAS'!B96,"")</x:f>
      </x:c>
      <x:c r="C94" s="520"/>
      <x:c r="D94" s="520"/>
      <x:c r="E94" s="520"/>
      <x:c r="F94" s="520"/>
      <x:c r="G94" s="520"/>
      <x:c r="H94" s="520"/>
      <x:c r="I94" s="520"/>
      <x:c r="J94" s="520"/>
      <x:c r="K94" s="520"/>
      <x:c r="L94" s="520"/>
      <x:c r="M94" s="520"/>
      <x:c r="N94" s="520"/>
      <x:c r="O94" s="520"/>
      <x:c r="P94" s="520"/>
      <x:c r="Q94" s="520"/>
      <x:c r="R94" s="520"/>
      <x:c r="S94" s="520"/>
      <x:c r="T94" s="520"/>
      <x:c r="U94" s="520"/>
      <x:c r="V94" s="520"/>
      <x:c r="W94" s="520"/>
      <x:c r="X94" s="520"/>
      <x:c r="Y94" s="520"/>
      <x:c r="Z94" s="520"/>
      <x:c r="AA94" s="520"/>
      <x:c r="AB94" s="520"/>
      <x:c r="AC94" s="520"/>
      <x:c r="AD94" s="520"/>
      <x:c r="AE94" s="520"/>
      <x:c r="AF94" s="520"/>
      <x:c r="AG94" s="520"/>
      <x:c r="AH94" s="520"/>
      <x:c r="AI94" s="520"/>
      <x:c r="AJ94" s="520"/>
      <x:c r="AK94" s="520"/>
      <x:c r="AL94" s="520"/>
      <x:c r="AM94" s="520"/>
      <x:c r="AN94" s="520"/>
      <x:c r="AO94" s="521"/>
    </x:row>
    <x:row r="95" ht="19" customHeight="1">
      <x:c r="B95" s="510" t="str">
        <x:f>IF('CADASTRO DE LOJAS'!E97="SIM",'CADASTRO DE LOJAS'!B97,"")</x:f>
      </x:c>
      <x:c r="C95" s="520"/>
      <x:c r="D95" s="520"/>
      <x:c r="E95" s="520"/>
      <x:c r="F95" s="520"/>
      <x:c r="G95" s="520"/>
      <x:c r="H95" s="520"/>
      <x:c r="I95" s="520"/>
      <x:c r="J95" s="520"/>
      <x:c r="K95" s="520"/>
      <x:c r="L95" s="520"/>
      <x:c r="M95" s="520"/>
      <x:c r="N95" s="520"/>
      <x:c r="O95" s="520"/>
      <x:c r="P95" s="520"/>
      <x:c r="Q95" s="520"/>
      <x:c r="R95" s="520"/>
      <x:c r="S95" s="520"/>
      <x:c r="T95" s="520"/>
      <x:c r="U95" s="520"/>
      <x:c r="V95" s="520"/>
      <x:c r="W95" s="520"/>
      <x:c r="X95" s="520"/>
      <x:c r="Y95" s="520"/>
      <x:c r="Z95" s="520"/>
      <x:c r="AA95" s="520"/>
      <x:c r="AB95" s="520"/>
      <x:c r="AC95" s="520"/>
      <x:c r="AD95" s="520"/>
      <x:c r="AE95" s="520"/>
      <x:c r="AF95" s="520"/>
      <x:c r="AG95" s="520"/>
      <x:c r="AH95" s="520"/>
      <x:c r="AI95" s="520"/>
      <x:c r="AJ95" s="520"/>
      <x:c r="AK95" s="520"/>
      <x:c r="AL95" s="520"/>
      <x:c r="AM95" s="520"/>
      <x:c r="AN95" s="520"/>
      <x:c r="AO95" s="521"/>
    </x:row>
    <x:row r="96" ht="19" customHeight="1">
      <x:c r="B96" s="510" t="str">
        <x:f>IF('CADASTRO DE LOJAS'!E98="SIM",'CADASTRO DE LOJAS'!B98,"")</x:f>
      </x:c>
      <x:c r="C96" s="520"/>
      <x:c r="D96" s="520"/>
      <x:c r="E96" s="520"/>
      <x:c r="F96" s="520"/>
      <x:c r="G96" s="520"/>
      <x:c r="H96" s="520"/>
      <x:c r="I96" s="520"/>
      <x:c r="J96" s="520"/>
      <x:c r="K96" s="520"/>
      <x:c r="L96" s="520"/>
      <x:c r="M96" s="520"/>
      <x:c r="N96" s="520"/>
      <x:c r="O96" s="520"/>
      <x:c r="P96" s="520"/>
      <x:c r="Q96" s="520"/>
      <x:c r="R96" s="520"/>
      <x:c r="S96" s="520"/>
      <x:c r="T96" s="520"/>
      <x:c r="U96" s="520"/>
      <x:c r="V96" s="520"/>
      <x:c r="W96" s="520"/>
      <x:c r="X96" s="520"/>
      <x:c r="Y96" s="520"/>
      <x:c r="Z96" s="520"/>
      <x:c r="AA96" s="520"/>
      <x:c r="AB96" s="520"/>
      <x:c r="AC96" s="520"/>
      <x:c r="AD96" s="520"/>
      <x:c r="AE96" s="520"/>
      <x:c r="AF96" s="520"/>
      <x:c r="AG96" s="520"/>
      <x:c r="AH96" s="520"/>
      <x:c r="AI96" s="520"/>
      <x:c r="AJ96" s="520"/>
      <x:c r="AK96" s="520"/>
      <x:c r="AL96" s="520"/>
      <x:c r="AM96" s="520"/>
      <x:c r="AN96" s="520"/>
      <x:c r="AO96" s="521"/>
    </x:row>
    <x:row r="97" ht="19" customHeight="1">
      <x:c r="B97" s="510" t="str">
        <x:f>IF('CADASTRO DE LOJAS'!E99="SIM",'CADASTRO DE LOJAS'!B99,"")</x:f>
      </x:c>
      <x:c r="C97" s="520"/>
      <x:c r="D97" s="520"/>
      <x:c r="E97" s="520"/>
      <x:c r="F97" s="520"/>
      <x:c r="G97" s="520"/>
      <x:c r="H97" s="520"/>
      <x:c r="I97" s="520"/>
      <x:c r="J97" s="520"/>
      <x:c r="K97" s="520"/>
      <x:c r="L97" s="520"/>
      <x:c r="M97" s="520"/>
      <x:c r="N97" s="520"/>
      <x:c r="O97" s="520"/>
      <x:c r="P97" s="520"/>
      <x:c r="Q97" s="520"/>
      <x:c r="R97" s="520"/>
      <x:c r="S97" s="520"/>
      <x:c r="T97" s="520"/>
      <x:c r="U97" s="520"/>
      <x:c r="V97" s="520"/>
      <x:c r="W97" s="520"/>
      <x:c r="X97" s="520"/>
      <x:c r="Y97" s="520"/>
      <x:c r="Z97" s="520"/>
      <x:c r="AA97" s="520"/>
      <x:c r="AB97" s="520"/>
      <x:c r="AC97" s="520"/>
      <x:c r="AD97" s="520"/>
      <x:c r="AE97" s="520"/>
      <x:c r="AF97" s="520"/>
      <x:c r="AG97" s="520"/>
      <x:c r="AH97" s="520"/>
      <x:c r="AI97" s="520"/>
      <x:c r="AJ97" s="520"/>
      <x:c r="AK97" s="520"/>
      <x:c r="AL97" s="520"/>
      <x:c r="AM97" s="520"/>
      <x:c r="AN97" s="520"/>
      <x:c r="AO97" s="521"/>
    </x:row>
    <x:row r="98" ht="19" customHeight="1">
      <x:c r="B98" s="510" t="str">
        <x:f>IF('CADASTRO DE LOJAS'!E100="SIM",'CADASTRO DE LOJAS'!B100,"")</x:f>
      </x:c>
      <x:c r="C98" s="520"/>
      <x:c r="D98" s="520"/>
      <x:c r="E98" s="520"/>
      <x:c r="F98" s="520"/>
      <x:c r="G98" s="520"/>
      <x:c r="H98" s="520"/>
      <x:c r="I98" s="520"/>
      <x:c r="J98" s="520"/>
      <x:c r="K98" s="520"/>
      <x:c r="L98" s="520"/>
      <x:c r="M98" s="520"/>
      <x:c r="N98" s="520"/>
      <x:c r="O98" s="520"/>
      <x:c r="P98" s="520"/>
      <x:c r="Q98" s="520"/>
      <x:c r="R98" s="520"/>
      <x:c r="S98" s="520"/>
      <x:c r="T98" s="520"/>
      <x:c r="U98" s="520"/>
      <x:c r="V98" s="520"/>
      <x:c r="W98" s="520"/>
      <x:c r="X98" s="520"/>
      <x:c r="Y98" s="520"/>
      <x:c r="Z98" s="520"/>
      <x:c r="AA98" s="520"/>
      <x:c r="AB98" s="520"/>
      <x:c r="AC98" s="520"/>
      <x:c r="AD98" s="520"/>
      <x:c r="AE98" s="520"/>
      <x:c r="AF98" s="520"/>
      <x:c r="AG98" s="520"/>
      <x:c r="AH98" s="520"/>
      <x:c r="AI98" s="520"/>
      <x:c r="AJ98" s="520"/>
      <x:c r="AK98" s="520"/>
      <x:c r="AL98" s="520"/>
      <x:c r="AM98" s="520"/>
      <x:c r="AN98" s="520"/>
      <x:c r="AO98" s="521"/>
    </x:row>
    <x:row r="99" ht="19" customHeight="1">
      <x:c r="B99" s="510" t="str">
        <x:f>IF('CADASTRO DE LOJAS'!E101="SIM",'CADASTRO DE LOJAS'!B101,"")</x:f>
      </x:c>
      <x:c r="C99" s="520"/>
      <x:c r="D99" s="520"/>
      <x:c r="E99" s="520"/>
      <x:c r="F99" s="520"/>
      <x:c r="G99" s="520"/>
      <x:c r="H99" s="520"/>
      <x:c r="I99" s="520"/>
      <x:c r="J99" s="520"/>
      <x:c r="K99" s="520"/>
      <x:c r="L99" s="520"/>
      <x:c r="M99" s="520"/>
      <x:c r="N99" s="520"/>
      <x:c r="O99" s="520"/>
      <x:c r="P99" s="520"/>
      <x:c r="Q99" s="520"/>
      <x:c r="R99" s="520"/>
      <x:c r="S99" s="520"/>
      <x:c r="T99" s="520"/>
      <x:c r="U99" s="520"/>
      <x:c r="V99" s="520"/>
      <x:c r="W99" s="520"/>
      <x:c r="X99" s="520"/>
      <x:c r="Y99" s="520"/>
      <x:c r="Z99" s="520"/>
      <x:c r="AA99" s="520"/>
      <x:c r="AB99" s="520"/>
      <x:c r="AC99" s="520"/>
      <x:c r="AD99" s="520"/>
      <x:c r="AE99" s="520"/>
      <x:c r="AF99" s="520"/>
      <x:c r="AG99" s="520"/>
      <x:c r="AH99" s="520"/>
      <x:c r="AI99" s="520"/>
      <x:c r="AJ99" s="520"/>
      <x:c r="AK99" s="520"/>
      <x:c r="AL99" s="520"/>
      <x:c r="AM99" s="520"/>
      <x:c r="AN99" s="520"/>
      <x:c r="AO99" s="521"/>
    </x:row>
    <x:row r="100" ht="19" customHeight="1">
      <x:c r="B100" s="510" t="str">
        <x:f>IF('CADASTRO DE LOJAS'!E102="SIM",'CADASTRO DE LOJAS'!B102,"")</x:f>
      </x:c>
      <x:c r="C100" s="520"/>
      <x:c r="D100" s="520"/>
      <x:c r="E100" s="520"/>
      <x:c r="F100" s="520"/>
      <x:c r="G100" s="520"/>
      <x:c r="H100" s="520"/>
      <x:c r="I100" s="520"/>
      <x:c r="J100" s="520"/>
      <x:c r="K100" s="520"/>
      <x:c r="L100" s="520"/>
      <x:c r="M100" s="520"/>
      <x:c r="N100" s="520"/>
      <x:c r="O100" s="520"/>
      <x:c r="P100" s="520"/>
      <x:c r="Q100" s="520"/>
      <x:c r="R100" s="520"/>
      <x:c r="S100" s="520"/>
      <x:c r="T100" s="520"/>
      <x:c r="U100" s="520"/>
      <x:c r="V100" s="520"/>
      <x:c r="W100" s="520"/>
      <x:c r="X100" s="520"/>
      <x:c r="Y100" s="520"/>
      <x:c r="Z100" s="520"/>
      <x:c r="AA100" s="520"/>
      <x:c r="AB100" s="520"/>
      <x:c r="AC100" s="520"/>
      <x:c r="AD100" s="520"/>
      <x:c r="AE100" s="520"/>
      <x:c r="AF100" s="520"/>
      <x:c r="AG100" s="520"/>
      <x:c r="AH100" s="520"/>
      <x:c r="AI100" s="520"/>
      <x:c r="AJ100" s="520"/>
      <x:c r="AK100" s="520"/>
      <x:c r="AL100" s="520"/>
      <x:c r="AM100" s="520"/>
      <x:c r="AN100" s="520"/>
      <x:c r="AO100" s="521"/>
    </x:row>
    <x:row r="101" ht="19" customHeight="1">
      <x:c r="B101" s="510" t="str">
        <x:f>IF('CADASTRO DE LOJAS'!E103="SIM",'CADASTRO DE LOJAS'!B103,"")</x:f>
      </x:c>
      <x:c r="C101" s="520"/>
      <x:c r="D101" s="520"/>
      <x:c r="E101" s="520"/>
      <x:c r="F101" s="520"/>
      <x:c r="G101" s="520"/>
      <x:c r="H101" s="520"/>
      <x:c r="I101" s="520"/>
      <x:c r="J101" s="520"/>
      <x:c r="K101" s="520"/>
      <x:c r="L101" s="520"/>
      <x:c r="M101" s="520"/>
      <x:c r="N101" s="520"/>
      <x:c r="O101" s="520"/>
      <x:c r="P101" s="520"/>
      <x:c r="Q101" s="520"/>
      <x:c r="R101" s="520"/>
      <x:c r="S101" s="520"/>
      <x:c r="T101" s="520"/>
      <x:c r="U101" s="520"/>
      <x:c r="V101" s="520"/>
      <x:c r="W101" s="520"/>
      <x:c r="X101" s="520"/>
      <x:c r="Y101" s="520"/>
      <x:c r="Z101" s="520"/>
      <x:c r="AA101" s="520"/>
      <x:c r="AB101" s="520"/>
      <x:c r="AC101" s="520"/>
      <x:c r="AD101" s="520"/>
      <x:c r="AE101" s="520"/>
      <x:c r="AF101" s="520"/>
      <x:c r="AG101" s="520"/>
      <x:c r="AH101" s="520"/>
      <x:c r="AI101" s="520"/>
      <x:c r="AJ101" s="520"/>
      <x:c r="AK101" s="520"/>
      <x:c r="AL101" s="520"/>
      <x:c r="AM101" s="520"/>
      <x:c r="AN101" s="520"/>
      <x:c r="AO101" s="521"/>
    </x:row>
    <x:row r="102" ht="19" customHeight="1">
      <x:c r="B102" s="511" t="str">
        <x:f>IF('CADASTRO DE LOJAS'!E104="SIM",'CADASTRO DE LOJAS'!B104,"")</x:f>
      </x:c>
      <x:c r="C102" s="522"/>
      <x:c r="D102" s="522"/>
      <x:c r="E102" s="522"/>
      <x:c r="F102" s="522"/>
      <x:c r="G102" s="522"/>
      <x:c r="H102" s="522"/>
      <x:c r="I102" s="522"/>
      <x:c r="J102" s="522"/>
      <x:c r="K102" s="522"/>
      <x:c r="L102" s="522"/>
      <x:c r="M102" s="522"/>
      <x:c r="N102" s="522"/>
      <x:c r="O102" s="522"/>
      <x:c r="P102" s="522"/>
      <x:c r="Q102" s="522"/>
      <x:c r="R102" s="522"/>
      <x:c r="S102" s="522"/>
      <x:c r="T102" s="522"/>
      <x:c r="U102" s="522"/>
      <x:c r="V102" s="522"/>
      <x:c r="W102" s="522"/>
      <x:c r="X102" s="522"/>
      <x:c r="Y102" s="522"/>
      <x:c r="Z102" s="522"/>
      <x:c r="AA102" s="522"/>
      <x:c r="AB102" s="522"/>
      <x:c r="AC102" s="522"/>
      <x:c r="AD102" s="522"/>
      <x:c r="AE102" s="522"/>
      <x:c r="AF102" s="522"/>
      <x:c r="AG102" s="522"/>
      <x:c r="AH102" s="522"/>
      <x:c r="AI102" s="522"/>
      <x:c r="AJ102" s="522"/>
      <x:c r="AK102" s="522"/>
      <x:c r="AL102" s="522"/>
      <x:c r="AM102" s="522"/>
      <x:c r="AN102" s="522"/>
      <x:c r="AO102" s="523"/>
    </x:row>
  </x:sheetData>
  <x:mergeCells>
    <x:mergeCell ref="A1:AO1"/>
  </x:mergeCells>
  <x:conditionalFormatting sqref="B3:AO102">
    <x:cfRule type="expression" dxfId="26" priority="1">
      <x:formula>MOD(ROW(),2)=0</x:formula>
    </x:cfRule>
  </x:conditionalFormatting>
  <x:conditionalFormatting sqref="B63:AO102">
    <x:cfRule type="expression" dxfId="27" priority="2">
      <x:formula>$B63=""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7" tint="0.39998"/>
  </x:sheetPr>
  <x:sheetFormatPr defaultRowHeight="12.75"/>
  <x:cols>
    <x:col min="1" max="1" width="2" hidden="0" customWidth="1"/>
    <x:col min="2" max="2" width="1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</x:cols>
  <x:sheetData>
    <x:row r="1">
      <x:c r="A1" s="95"/>
      <x:c r="B1" s="95"/>
      <x:c r="C1" s="95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  <x:c r="AA1" s="95"/>
      <x:c r="AB1" s="95"/>
      <x:c r="AC1" s="95"/>
      <x:c r="AD1" s="95"/>
      <x:c r="AE1" s="95"/>
      <x:c r="AF1" s="95"/>
      <x:c r="AG1" s="95"/>
      <x:c r="AH1" s="95"/>
      <x:c r="AI1" s="95"/>
      <x:c r="AJ1" s="95"/>
      <x:c r="AK1" s="95"/>
      <x:c r="AL1" s="95"/>
      <x:c r="AM1" s="95"/>
      <x:c r="AN1" s="95"/>
      <x:c r="AO1" s="95"/>
    </x:row>
    <x:row r="2" ht="24" customHeight="1">
      <x:c r="B2" s="461"/>
      <x:c r="C2" s="463">
        <x:v>45597</x:v>
      </x:c>
      <x:c r="D2" s="463">
        <x:v>45627</x:v>
      </x:c>
      <x:c r="E2" s="463">
        <x:v>45658</x:v>
      </x:c>
      <x:c r="F2" s="463">
        <x:v>45689</x:v>
      </x:c>
      <x:c r="G2" s="463">
        <x:v>45717</x:v>
      </x:c>
      <x:c r="H2" s="463">
        <x:v>45748</x:v>
      </x:c>
      <x:c r="I2" s="463">
        <x:v>45778</x:v>
      </x:c>
      <x:c r="J2" s="463">
        <x:v>45809</x:v>
      </x:c>
      <x:c r="K2" s="463">
        <x:v>45839</x:v>
      </x:c>
      <x:c r="L2" s="463">
        <x:v>45870</x:v>
      </x:c>
      <x:c r="M2" s="463">
        <x:v>45901</x:v>
      </x:c>
      <x:c r="N2" s="463">
        <x:v>45931</x:v>
      </x:c>
      <x:c r="O2" s="463">
        <x:v>45962</x:v>
      </x:c>
      <x:c r="P2" s="463">
        <x:v>45992</x:v>
      </x:c>
      <x:c r="Q2" s="463">
        <x:v>46023</x:v>
      </x:c>
      <x:c r="R2" s="463">
        <x:v>46054</x:v>
      </x:c>
      <x:c r="S2" s="463">
        <x:v>46082</x:v>
      </x:c>
      <x:c r="T2" s="463">
        <x:v>46113</x:v>
      </x:c>
      <x:c r="U2" s="463">
        <x:v>46143</x:v>
      </x:c>
      <x:c r="V2" s="463">
        <x:v>46174</x:v>
      </x:c>
      <x:c r="W2" s="463">
        <x:v>46204</x:v>
      </x:c>
      <x:c r="X2" s="463">
        <x:v>46235</x:v>
      </x:c>
      <x:c r="Y2" s="463">
        <x:v>46266</x:v>
      </x:c>
      <x:c r="Z2" s="463">
        <x:v>46296</x:v>
      </x:c>
      <x:c r="AA2" s="463">
        <x:v>46327</x:v>
      </x:c>
      <x:c r="AB2" s="463">
        <x:v>46357</x:v>
      </x:c>
      <x:c r="AC2" s="463">
        <x:v>46388</x:v>
      </x:c>
      <x:c r="AD2" s="463">
        <x:v>46419</x:v>
      </x:c>
      <x:c r="AE2" s="463">
        <x:v>46447</x:v>
      </x:c>
      <x:c r="AF2" s="463">
        <x:v>46478</x:v>
      </x:c>
      <x:c r="AG2" s="463">
        <x:v>46508</x:v>
      </x:c>
      <x:c r="AH2" s="463">
        <x:v>46539</x:v>
      </x:c>
      <x:c r="AI2" s="463">
        <x:v>46569</x:v>
      </x:c>
      <x:c r="AJ2" s="463">
        <x:v>46600</x:v>
      </x:c>
      <x:c r="AK2" s="463">
        <x:v>46631</x:v>
      </x:c>
      <x:c r="AL2" s="463">
        <x:v>46661</x:v>
      </x:c>
      <x:c r="AM2" s="463">
        <x:v>46692</x:v>
      </x:c>
      <x:c r="AN2" s="463">
        <x:v>46722</x:v>
      </x:c>
      <x:c r="AO2" s="463">
        <x:v>46753</x:v>
      </x:c>
    </x:row>
    <x:row r="3" ht="19" customHeight="1">
      <x:c r="B3" s="509">
        <x:v>1</x:v>
      </x:c>
      <x:c r="C3" s="512">
        <x:v>49</x:v>
      </x:c>
      <x:c r="D3" s="512">
        <x:v>29</x:v>
      </x:c>
      <x:c r="E3" s="513">
        <x:v>22</x:v>
      </x:c>
      <x:c r="F3" s="513">
        <x:v>33</x:v>
      </x:c>
      <x:c r="G3" s="512">
        <x:v>19</x:v>
      </x:c>
      <x:c r="H3" s="512">
        <x:v>16</x:v>
      </x:c>
      <x:c r="I3" s="512">
        <x:v>0</x:v>
      </x:c>
      <x:c r="J3" s="512">
        <x:v>0</x:v>
      </x:c>
      <x:c r="K3" s="512">
        <x:v>40</x:v>
      </x:c>
      <x:c r="L3" s="512">
        <x:v>101</x:v>
      </x:c>
      <x:c r="M3" s="512">
        <x:v>178</x:v>
      </x:c>
      <x:c r="N3" s="512">
        <x:v>108</x:v>
      </x:c>
      <x:c r="O3" s="512">
        <x:v>290</x:v>
      </x:c>
      <x:c r="P3" s="512">
        <x:v>81</x:v>
      </x:c>
      <x:c r="Q3" s="512">
        <x:v>43</x:v>
      </x:c>
      <x:c r="R3" s="512">
        <x:v>0</x:v>
      </x:c>
      <x:c r="S3" s="512">
        <x:v>0</x:v>
      </x:c>
      <x:c r="T3" s="512">
        <x:v>0</x:v>
      </x:c>
      <x:c r="U3" s="512">
        <x:v>0</x:v>
      </x:c>
      <x:c r="V3" s="512">
        <x:v>0</x:v>
      </x:c>
      <x:c r="W3" s="512">
        <x:v>44</x:v>
      </x:c>
      <x:c r="X3" s="512">
        <x:v>22</x:v>
      </x:c>
      <x:c r="Y3" s="512">
        <x:v>0</x:v>
      </x:c>
      <x:c r="Z3" s="512"/>
      <x:c r="AA3" s="512"/>
      <x:c r="AB3" s="512"/>
      <x:c r="AC3" s="512"/>
      <x:c r="AD3" s="512"/>
      <x:c r="AE3" s="512"/>
      <x:c r="AF3" s="512"/>
      <x:c r="AG3" s="512"/>
      <x:c r="AH3" s="512"/>
      <x:c r="AI3" s="512"/>
      <x:c r="AJ3" s="512"/>
      <x:c r="AK3" s="512"/>
      <x:c r="AL3" s="512"/>
      <x:c r="AM3" s="512"/>
      <x:c r="AN3" s="512"/>
      <x:c r="AO3" s="514"/>
    </x:row>
    <x:row r="4" ht="19" customHeight="1">
      <x:c r="B4" s="509">
        <x:v>2</x:v>
      </x:c>
      <x:c r="C4" s="512">
        <x:v>244</x:v>
      </x:c>
      <x:c r="D4" s="512">
        <x:v>411</x:v>
      </x:c>
      <x:c r="E4" s="513">
        <x:v>427</x:v>
      </x:c>
      <x:c r="F4" s="513">
        <x:v>351</x:v>
      </x:c>
      <x:c r="G4" s="512">
        <x:v>194</x:v>
      </x:c>
      <x:c r="H4" s="512">
        <x:v>157</x:v>
      </x:c>
      <x:c r="I4" s="512">
        <x:v>114</x:v>
      </x:c>
      <x:c r="J4" s="512">
        <x:v>137</x:v>
      </x:c>
      <x:c r="K4" s="512">
        <x:v>61</x:v>
      </x:c>
      <x:c r="L4" s="512">
        <x:v>33</x:v>
      </x:c>
      <x:c r="M4" s="512">
        <x:v>33</x:v>
      </x:c>
      <x:c r="N4" s="512">
        <x:v>12</x:v>
      </x:c>
      <x:c r="O4" s="512">
        <x:v>20</x:v>
      </x:c>
      <x:c r="P4" s="512">
        <x:v>3</x:v>
      </x:c>
      <x:c r="Q4" s="512">
        <x:v>0</x:v>
      </x:c>
      <x:c r="R4" s="512">
        <x:v>0</x:v>
      </x:c>
      <x:c r="S4" s="512">
        <x:v>7</x:v>
      </x:c>
      <x:c r="T4" s="512">
        <x:v>17</x:v>
      </x:c>
      <x:c r="U4" s="512">
        <x:v>43</x:v>
      </x:c>
      <x:c r="V4" s="512">
        <x:v>6</x:v>
      </x:c>
      <x:c r="W4" s="512">
        <x:v>8</x:v>
      </x:c>
      <x:c r="X4" s="512">
        <x:v>18</x:v>
      </x:c>
      <x:c r="Y4" s="512">
        <x:v>0</x:v>
      </x:c>
      <x:c r="Z4" s="512"/>
      <x:c r="AA4" s="512"/>
      <x:c r="AB4" s="512"/>
      <x:c r="AC4" s="512"/>
      <x:c r="AD4" s="512"/>
      <x:c r="AE4" s="512"/>
      <x:c r="AF4" s="512"/>
      <x:c r="AG4" s="512"/>
      <x:c r="AH4" s="512"/>
      <x:c r="AI4" s="512"/>
      <x:c r="AJ4" s="512"/>
      <x:c r="AK4" s="512"/>
      <x:c r="AL4" s="512"/>
      <x:c r="AM4" s="512"/>
      <x:c r="AN4" s="512"/>
      <x:c r="AO4" s="514"/>
    </x:row>
    <x:row r="5" ht="19" customHeight="1">
      <x:c r="B5" s="509">
        <x:v>3</x:v>
      </x:c>
      <x:c r="C5" s="512">
        <x:v>21</x:v>
      </x:c>
      <x:c r="D5" s="512">
        <x:v>9</x:v>
      </x:c>
      <x:c r="E5" s="513">
        <x:v>25</x:v>
      </x:c>
      <x:c r="F5" s="513">
        <x:v>24</x:v>
      </x:c>
      <x:c r="G5" s="512">
        <x:v>7</x:v>
      </x:c>
      <x:c r="H5" s="512">
        <x:v>44</x:v>
      </x:c>
      <x:c r="I5" s="512">
        <x:v>63</x:v>
      </x:c>
      <x:c r="J5" s="512">
        <x:v>88</x:v>
      </x:c>
      <x:c r="K5" s="512">
        <x:v>68</x:v>
      </x:c>
      <x:c r="L5" s="512">
        <x:v>35</x:v>
      </x:c>
      <x:c r="M5" s="512">
        <x:v>31</x:v>
      </x:c>
      <x:c r="N5" s="512">
        <x:v>21</x:v>
      </x:c>
      <x:c r="O5" s="512">
        <x:v>21</x:v>
      </x:c>
      <x:c r="P5" s="512">
        <x:v>47</x:v>
      </x:c>
      <x:c r="Q5" s="512">
        <x:v>14</x:v>
      </x:c>
      <x:c r="R5" s="512">
        <x:v>44</x:v>
      </x:c>
      <x:c r="S5" s="512">
        <x:v>136</x:v>
      </x:c>
      <x:c r="T5" s="512">
        <x:v>141</x:v>
      </x:c>
      <x:c r="U5" s="512">
        <x:v>94</x:v>
      </x:c>
      <x:c r="V5" s="512">
        <x:v>46</x:v>
      </x:c>
      <x:c r="W5" s="512">
        <x:v>23</x:v>
      </x:c>
      <x:c r="X5" s="512">
        <x:v>43</x:v>
      </x:c>
      <x:c r="Y5" s="512">
        <x:v>20</x:v>
      </x:c>
      <x:c r="Z5" s="512"/>
      <x:c r="AA5" s="512"/>
      <x:c r="AB5" s="512"/>
      <x:c r="AC5" s="512"/>
      <x:c r="AD5" s="512"/>
      <x:c r="AE5" s="512"/>
      <x:c r="AF5" s="512"/>
      <x:c r="AG5" s="512"/>
      <x:c r="AH5" s="512"/>
      <x:c r="AI5" s="512"/>
      <x:c r="AJ5" s="512"/>
      <x:c r="AK5" s="512"/>
      <x:c r="AL5" s="512"/>
      <x:c r="AM5" s="512"/>
      <x:c r="AN5" s="512"/>
      <x:c r="AO5" s="514"/>
    </x:row>
    <x:row r="6" ht="19" customHeight="1">
      <x:c r="B6" s="509">
        <x:v>5</x:v>
      </x:c>
      <x:c r="C6" s="512">
        <x:v>23</x:v>
      </x:c>
      <x:c r="D6" s="512">
        <x:v>7</x:v>
      </x:c>
      <x:c r="E6" s="513">
        <x:v>7</x:v>
      </x:c>
      <x:c r="F6" s="513">
        <x:v>0</x:v>
      </x:c>
      <x:c r="G6" s="512">
        <x:v>3</x:v>
      </x:c>
      <x:c r="H6" s="512">
        <x:v>2</x:v>
      </x:c>
      <x:c r="I6" s="512">
        <x:v>2</x:v>
      </x:c>
      <x:c r="J6" s="512">
        <x:v>15</x:v>
      </x:c>
      <x:c r="K6" s="512">
        <x:v>14</x:v>
      </x:c>
      <x:c r="L6" s="512">
        <x:v>1</x:v>
      </x:c>
      <x:c r="M6" s="512">
        <x:v>0</x:v>
      </x:c>
      <x:c r="N6" s="512">
        <x:v>5</x:v>
      </x:c>
      <x:c r="O6" s="512">
        <x:v>3</x:v>
      </x:c>
      <x:c r="P6" s="512">
        <x:v>0</x:v>
      </x:c>
      <x:c r="Q6" s="512">
        <x:v>68</x:v>
      </x:c>
      <x:c r="R6" s="512">
        <x:v>12</x:v>
      </x:c>
      <x:c r="S6" s="512">
        <x:v>66</x:v>
      </x:c>
      <x:c r="T6" s="512">
        <x:v>58</x:v>
      </x:c>
      <x:c r="U6" s="512">
        <x:v>28</x:v>
      </x:c>
      <x:c r="V6" s="512">
        <x:v>45</x:v>
      </x:c>
      <x:c r="W6" s="512">
        <x:v>102</x:v>
      </x:c>
      <x:c r="X6" s="512">
        <x:v>76</x:v>
      </x:c>
      <x:c r="Y6" s="512">
        <x:v>37</x:v>
      </x:c>
      <x:c r="Z6" s="512"/>
      <x:c r="AA6" s="512"/>
      <x:c r="AB6" s="512"/>
      <x:c r="AC6" s="512"/>
      <x:c r="AD6" s="512"/>
      <x:c r="AE6" s="512"/>
      <x:c r="AF6" s="512"/>
      <x:c r="AG6" s="512"/>
      <x:c r="AH6" s="512"/>
      <x:c r="AI6" s="512"/>
      <x:c r="AJ6" s="512"/>
      <x:c r="AK6" s="512"/>
      <x:c r="AL6" s="512"/>
      <x:c r="AM6" s="512"/>
      <x:c r="AN6" s="512"/>
      <x:c r="AO6" s="514"/>
    </x:row>
    <x:row r="7" ht="19" customHeight="1">
      <x:c r="B7" s="509">
        <x:v>6</x:v>
      </x:c>
      <x:c r="C7" s="512">
        <x:v>239</x:v>
      </x:c>
      <x:c r="D7" s="512">
        <x:v>65</x:v>
      </x:c>
      <x:c r="E7" s="513">
        <x:v>118</x:v>
      </x:c>
      <x:c r="F7" s="513">
        <x:v>32</x:v>
      </x:c>
      <x:c r="G7" s="512">
        <x:v>24</x:v>
      </x:c>
      <x:c r="H7" s="512">
        <x:v>49</x:v>
      </x:c>
      <x:c r="I7" s="512">
        <x:v>12</x:v>
      </x:c>
      <x:c r="J7" s="512">
        <x:v>73</x:v>
      </x:c>
      <x:c r="K7" s="512">
        <x:v>24</x:v>
      </x:c>
      <x:c r="L7" s="512">
        <x:v>54</x:v>
      </x:c>
      <x:c r="M7" s="512">
        <x:v>38</x:v>
      </x:c>
      <x:c r="N7" s="512">
        <x:v>44</x:v>
      </x:c>
      <x:c r="O7" s="512">
        <x:v>194</x:v>
      </x:c>
      <x:c r="P7" s="512">
        <x:v>96</x:v>
      </x:c>
      <x:c r="Q7" s="512">
        <x:v>18</x:v>
      </x:c>
      <x:c r="R7" s="512">
        <x:v>49</x:v>
      </x:c>
      <x:c r="S7" s="512">
        <x:v>353</x:v>
      </x:c>
      <x:c r="T7" s="512">
        <x:v>215</x:v>
      </x:c>
      <x:c r="U7" s="512">
        <x:v>87</x:v>
      </x:c>
      <x:c r="V7" s="512">
        <x:v>1</x:v>
      </x:c>
      <x:c r="W7" s="512">
        <x:v>150</x:v>
      </x:c>
      <x:c r="X7" s="512">
        <x:v>76</x:v>
      </x:c>
      <x:c r="Y7" s="512">
        <x:v>19</x:v>
      </x:c>
      <x:c r="Z7" s="512"/>
      <x:c r="AA7" s="512"/>
      <x:c r="AB7" s="512"/>
      <x:c r="AC7" s="512"/>
      <x:c r="AD7" s="512"/>
      <x:c r="AE7" s="512"/>
      <x:c r="AF7" s="512"/>
      <x:c r="AG7" s="512"/>
      <x:c r="AH7" s="512"/>
      <x:c r="AI7" s="512"/>
      <x:c r="AJ7" s="512"/>
      <x:c r="AK7" s="512"/>
      <x:c r="AL7" s="512"/>
      <x:c r="AM7" s="512"/>
      <x:c r="AN7" s="512"/>
      <x:c r="AO7" s="514"/>
    </x:row>
    <x:row r="8" ht="19" customHeight="1">
      <x:c r="B8" s="509">
        <x:v>7</x:v>
      </x:c>
      <x:c r="C8" s="512">
        <x:v>20</x:v>
      </x:c>
      <x:c r="D8" s="512">
        <x:v>19</x:v>
      </x:c>
      <x:c r="E8" s="513">
        <x:v>22</x:v>
      </x:c>
      <x:c r="F8" s="513">
        <x:v>9</x:v>
      </x:c>
      <x:c r="G8" s="512">
        <x:v>11</x:v>
      </x:c>
      <x:c r="H8" s="512">
        <x:v>15</x:v>
      </x:c>
      <x:c r="I8" s="512">
        <x:v>105</x:v>
      </x:c>
      <x:c r="J8" s="512">
        <x:v>83</x:v>
      </x:c>
      <x:c r="K8" s="512">
        <x:v>116</x:v>
      </x:c>
      <x:c r="L8" s="512">
        <x:v>55</x:v>
      </x:c>
      <x:c r="M8" s="512">
        <x:v>1</x:v>
      </x:c>
      <x:c r="N8" s="512">
        <x:v>9</x:v>
      </x:c>
      <x:c r="O8" s="512">
        <x:v>87</x:v>
      </x:c>
      <x:c r="P8" s="512">
        <x:v>47</x:v>
      </x:c>
      <x:c r="Q8" s="512">
        <x:v>0</x:v>
      </x:c>
      <x:c r="R8" s="512">
        <x:v>9</x:v>
      </x:c>
      <x:c r="S8" s="512">
        <x:v>3</x:v>
      </x:c>
      <x:c r="T8" s="512">
        <x:v>4</x:v>
      </x:c>
      <x:c r="U8" s="512">
        <x:v>1</x:v>
      </x:c>
      <x:c r="V8" s="512">
        <x:v>196</x:v>
      </x:c>
      <x:c r="W8" s="512">
        <x:v>0</x:v>
      </x:c>
      <x:c r="X8" s="512">
        <x:v>6</x:v>
      </x:c>
      <x:c r="Y8" s="512">
        <x:v>0</x:v>
      </x:c>
      <x:c r="Z8" s="512"/>
      <x:c r="AA8" s="512"/>
      <x:c r="AB8" s="512"/>
      <x:c r="AC8" s="512"/>
      <x:c r="AD8" s="512"/>
      <x:c r="AE8" s="512"/>
      <x:c r="AF8" s="512"/>
      <x:c r="AG8" s="512"/>
      <x:c r="AH8" s="512"/>
      <x:c r="AI8" s="512"/>
      <x:c r="AJ8" s="512"/>
      <x:c r="AK8" s="512"/>
      <x:c r="AL8" s="512"/>
      <x:c r="AM8" s="512"/>
      <x:c r="AN8" s="512"/>
      <x:c r="AO8" s="514"/>
    </x:row>
    <x:row r="9" ht="19" customHeight="1">
      <x:c r="B9" s="509">
        <x:v>8</x:v>
      </x:c>
      <x:c r="C9" s="512">
        <x:v>52</x:v>
      </x:c>
      <x:c r="D9" s="512">
        <x:v>52</x:v>
      </x:c>
      <x:c r="E9" s="513">
        <x:v>111</x:v>
      </x:c>
      <x:c r="F9" s="513">
        <x:v>19</x:v>
      </x:c>
      <x:c r="G9" s="512">
        <x:v>4</x:v>
      </x:c>
      <x:c r="H9" s="512">
        <x:v>27</x:v>
      </x:c>
      <x:c r="I9" s="512">
        <x:v>72</x:v>
      </x:c>
      <x:c r="J9" s="512">
        <x:v>87</x:v>
      </x:c>
      <x:c r="K9" s="512">
        <x:v>109</x:v>
      </x:c>
      <x:c r="L9" s="512">
        <x:v>36</x:v>
      </x:c>
      <x:c r="M9" s="512">
        <x:v>44</x:v>
      </x:c>
      <x:c r="N9" s="512">
        <x:v>225</x:v>
      </x:c>
      <x:c r="O9" s="512">
        <x:v>337</x:v>
      </x:c>
      <x:c r="P9" s="512">
        <x:v>492</x:v>
      </x:c>
      <x:c r="Q9" s="512">
        <x:v>349</x:v>
      </x:c>
      <x:c r="R9" s="512">
        <x:v>175</x:v>
      </x:c>
      <x:c r="S9" s="512">
        <x:v>136</x:v>
      </x:c>
      <x:c r="T9" s="512">
        <x:v>318</x:v>
      </x:c>
      <x:c r="U9" s="512">
        <x:v>180</x:v>
      </x:c>
      <x:c r="V9" s="512">
        <x:v>0</x:v>
      </x:c>
      <x:c r="W9" s="512">
        <x:v>173</x:v>
      </x:c>
      <x:c r="X9" s="512">
        <x:v>149</x:v>
      </x:c>
      <x:c r="Y9" s="512">
        <x:v>44</x:v>
      </x:c>
      <x:c r="Z9" s="512"/>
      <x:c r="AA9" s="512"/>
      <x:c r="AB9" s="512"/>
      <x:c r="AC9" s="512"/>
      <x:c r="AD9" s="512"/>
      <x:c r="AE9" s="512"/>
      <x:c r="AF9" s="512"/>
      <x:c r="AG9" s="512"/>
      <x:c r="AH9" s="512"/>
      <x:c r="AI9" s="512"/>
      <x:c r="AJ9" s="512"/>
      <x:c r="AK9" s="512"/>
      <x:c r="AL9" s="512"/>
      <x:c r="AM9" s="512"/>
      <x:c r="AN9" s="512"/>
      <x:c r="AO9" s="514"/>
    </x:row>
    <x:row r="10" ht="19" customHeight="1">
      <x:c r="B10" s="509">
        <x:v>9</x:v>
      </x:c>
      <x:c r="C10" s="512">
        <x:v>3</x:v>
      </x:c>
      <x:c r="D10" s="512">
        <x:v>31</x:v>
      </x:c>
      <x:c r="E10" s="513">
        <x:v>24</x:v>
      </x:c>
      <x:c r="F10" s="513">
        <x:v>5</x:v>
      </x:c>
      <x:c r="G10" s="512">
        <x:v>6</x:v>
      </x:c>
      <x:c r="H10" s="512">
        <x:v>71</x:v>
      </x:c>
      <x:c r="I10" s="512">
        <x:v>29</x:v>
      </x:c>
      <x:c r="J10" s="512">
        <x:v>11</x:v>
      </x:c>
      <x:c r="K10" s="512">
        <x:v>1</x:v>
      </x:c>
      <x:c r="L10" s="512">
        <x:v>104</x:v>
      </x:c>
      <x:c r="M10" s="512">
        <x:v>46</x:v>
      </x:c>
      <x:c r="N10" s="512">
        <x:v>107</x:v>
      </x:c>
      <x:c r="O10" s="512">
        <x:v>97</x:v>
      </x:c>
      <x:c r="P10" s="512">
        <x:v>54</x:v>
      </x:c>
      <x:c r="Q10" s="512">
        <x:v>29</x:v>
      </x:c>
      <x:c r="R10" s="512">
        <x:v>12</x:v>
      </x:c>
      <x:c r="S10" s="512">
        <x:v>131</x:v>
      </x:c>
      <x:c r="T10" s="512">
        <x:v>60</x:v>
      </x:c>
      <x:c r="U10" s="512">
        <x:v>28</x:v>
      </x:c>
      <x:c r="V10" s="512">
        <x:v>99</x:v>
      </x:c>
      <x:c r="W10" s="512">
        <x:v>0</x:v>
      </x:c>
      <x:c r="X10" s="512">
        <x:v>0</x:v>
      </x:c>
      <x:c r="Y10" s="512">
        <x:v>0</x:v>
      </x:c>
      <x:c r="Z10" s="512"/>
      <x:c r="AA10" s="512"/>
      <x:c r="AB10" s="512"/>
      <x:c r="AC10" s="512"/>
      <x:c r="AD10" s="512"/>
      <x:c r="AE10" s="512"/>
      <x:c r="AF10" s="512"/>
      <x:c r="AG10" s="512"/>
      <x:c r="AH10" s="512"/>
      <x:c r="AI10" s="512"/>
      <x:c r="AJ10" s="512"/>
      <x:c r="AK10" s="512"/>
      <x:c r="AL10" s="512"/>
      <x:c r="AM10" s="512"/>
      <x:c r="AN10" s="512"/>
      <x:c r="AO10" s="514"/>
    </x:row>
    <x:row r="11" ht="19" customHeight="1">
      <x:c r="B11" s="509">
        <x:v>10</x:v>
      </x:c>
      <x:c r="C11" s="512">
        <x:v>52</x:v>
      </x:c>
      <x:c r="D11" s="512">
        <x:v>27</x:v>
      </x:c>
      <x:c r="E11" s="513">
        <x:v>96</x:v>
      </x:c>
      <x:c r="F11" s="513">
        <x:v>69</x:v>
      </x:c>
      <x:c r="G11" s="512">
        <x:v>57</x:v>
      </x:c>
      <x:c r="H11" s="512">
        <x:v>27</x:v>
      </x:c>
      <x:c r="I11" s="512">
        <x:v>21</x:v>
      </x:c>
      <x:c r="J11" s="512">
        <x:v>34</x:v>
      </x:c>
      <x:c r="K11" s="512">
        <x:v>39</x:v>
      </x:c>
      <x:c r="L11" s="512">
        <x:v>49</x:v>
      </x:c>
      <x:c r="M11" s="512">
        <x:v>29</x:v>
      </x:c>
      <x:c r="N11" s="512">
        <x:v>95</x:v>
      </x:c>
      <x:c r="O11" s="512">
        <x:v>110</x:v>
      </x:c>
      <x:c r="P11" s="512">
        <x:v>107</x:v>
      </x:c>
      <x:c r="Q11" s="512">
        <x:v>45</x:v>
      </x:c>
      <x:c r="R11" s="512">
        <x:v>63</x:v>
      </x:c>
      <x:c r="S11" s="512">
        <x:v>83</x:v>
      </x:c>
      <x:c r="T11" s="512">
        <x:v>185</x:v>
      </x:c>
      <x:c r="U11" s="512">
        <x:v>141</x:v>
      </x:c>
      <x:c r="V11" s="512">
        <x:v>11</x:v>
      </x:c>
      <x:c r="W11" s="512">
        <x:v>167</x:v>
      </x:c>
      <x:c r="X11" s="512">
        <x:v>46</x:v>
      </x:c>
      <x:c r="Y11" s="512">
        <x:v>36</x:v>
      </x:c>
      <x:c r="Z11" s="512"/>
      <x:c r="AA11" s="512"/>
      <x:c r="AB11" s="512"/>
      <x:c r="AC11" s="512"/>
      <x:c r="AD11" s="512"/>
      <x:c r="AE11" s="512"/>
      <x:c r="AF11" s="512"/>
      <x:c r="AG11" s="512"/>
      <x:c r="AH11" s="512"/>
      <x:c r="AI11" s="512"/>
      <x:c r="AJ11" s="512"/>
      <x:c r="AK11" s="512"/>
      <x:c r="AL11" s="512"/>
      <x:c r="AM11" s="512"/>
      <x:c r="AN11" s="512"/>
      <x:c r="AO11" s="514"/>
    </x:row>
    <x:row r="12" ht="19" customHeight="1">
      <x:c r="B12" s="509">
        <x:v>11</x:v>
      </x:c>
      <x:c r="C12" s="512">
        <x:v>41</x:v>
      </x:c>
      <x:c r="D12" s="512">
        <x:v>37</x:v>
      </x:c>
      <x:c r="E12" s="513">
        <x:v>8</x:v>
      </x:c>
      <x:c r="F12" s="513">
        <x:v>7</x:v>
      </x:c>
      <x:c r="G12" s="512">
        <x:v>104</x:v>
      </x:c>
      <x:c r="H12" s="512">
        <x:v>75</x:v>
      </x:c>
      <x:c r="I12" s="512">
        <x:v>76</x:v>
      </x:c>
      <x:c r="J12" s="512">
        <x:v>123</x:v>
      </x:c>
      <x:c r="K12" s="512">
        <x:v>132</x:v>
      </x:c>
      <x:c r="L12" s="512">
        <x:v>126</x:v>
      </x:c>
      <x:c r="M12" s="512">
        <x:v>65</x:v>
      </x:c>
      <x:c r="N12" s="512">
        <x:v>73</x:v>
      </x:c>
      <x:c r="O12" s="512">
        <x:v>183</x:v>
      </x:c>
      <x:c r="P12" s="512">
        <x:v>60</x:v>
      </x:c>
      <x:c r="Q12" s="512">
        <x:v>71</x:v>
      </x:c>
      <x:c r="R12" s="512">
        <x:v>83</x:v>
      </x:c>
      <x:c r="S12" s="512">
        <x:v>99</x:v>
      </x:c>
      <x:c r="T12" s="512">
        <x:v>35</x:v>
      </x:c>
      <x:c r="U12" s="512">
        <x:v>53</x:v>
      </x:c>
      <x:c r="V12" s="512">
        <x:v>11</x:v>
      </x:c>
      <x:c r="W12" s="512">
        <x:v>81</x:v>
      </x:c>
      <x:c r="X12" s="512">
        <x:v>74</x:v>
      </x:c>
      <x:c r="Y12" s="512">
        <x:v>29</x:v>
      </x:c>
      <x:c r="Z12" s="512"/>
      <x:c r="AA12" s="512"/>
      <x:c r="AB12" s="512"/>
      <x:c r="AC12" s="512"/>
      <x:c r="AD12" s="512"/>
      <x:c r="AE12" s="512"/>
      <x:c r="AF12" s="512"/>
      <x:c r="AG12" s="512"/>
      <x:c r="AH12" s="512"/>
      <x:c r="AI12" s="512"/>
      <x:c r="AJ12" s="512"/>
      <x:c r="AK12" s="512"/>
      <x:c r="AL12" s="512"/>
      <x:c r="AM12" s="512"/>
      <x:c r="AN12" s="512"/>
      <x:c r="AO12" s="514"/>
    </x:row>
    <x:row r="13" ht="19" customHeight="1">
      <x:c r="B13" s="509">
        <x:v>12</x:v>
      </x:c>
      <x:c r="C13" s="512">
        <x:v>0</x:v>
      </x:c>
      <x:c r="D13" s="512">
        <x:v>93</x:v>
      </x:c>
      <x:c r="E13" s="513">
        <x:v>91</x:v>
      </x:c>
      <x:c r="F13" s="513">
        <x:v>39</x:v>
      </x:c>
      <x:c r="G13" s="512">
        <x:v>32</x:v>
      </x:c>
      <x:c r="H13" s="512">
        <x:v>25</x:v>
      </x:c>
      <x:c r="I13" s="512">
        <x:v>39</x:v>
      </x:c>
      <x:c r="J13" s="512">
        <x:v>155</x:v>
      </x:c>
      <x:c r="K13" s="512">
        <x:v>75</x:v>
      </x:c>
      <x:c r="L13" s="512">
        <x:v>32</x:v>
      </x:c>
      <x:c r="M13" s="512">
        <x:v>4</x:v>
      </x:c>
      <x:c r="N13" s="512">
        <x:v>59</x:v>
      </x:c>
      <x:c r="O13" s="512">
        <x:v>94</x:v>
      </x:c>
      <x:c r="P13" s="512">
        <x:v>87</x:v>
      </x:c>
      <x:c r="Q13" s="512">
        <x:v>6</x:v>
      </x:c>
      <x:c r="R13" s="512">
        <x:v>37</x:v>
      </x:c>
      <x:c r="S13" s="512">
        <x:v>22</x:v>
      </x:c>
      <x:c r="T13" s="512">
        <x:v>76</x:v>
      </x:c>
      <x:c r="U13" s="512">
        <x:v>243</x:v>
      </x:c>
      <x:c r="V13" s="512">
        <x:v>33</x:v>
      </x:c>
      <x:c r="W13" s="512">
        <x:v>54</x:v>
      </x:c>
      <x:c r="X13" s="512">
        <x:v>29</x:v>
      </x:c>
      <x:c r="Y13" s="512">
        <x:v>20</x:v>
      </x:c>
      <x:c r="Z13" s="512"/>
      <x:c r="AA13" s="512"/>
      <x:c r="AB13" s="512"/>
      <x:c r="AC13" s="512"/>
      <x:c r="AD13" s="512"/>
      <x:c r="AE13" s="512"/>
      <x:c r="AF13" s="512"/>
      <x:c r="AG13" s="512"/>
      <x:c r="AH13" s="512"/>
      <x:c r="AI13" s="512"/>
      <x:c r="AJ13" s="512"/>
      <x:c r="AK13" s="512"/>
      <x:c r="AL13" s="512"/>
      <x:c r="AM13" s="512"/>
      <x:c r="AN13" s="512"/>
      <x:c r="AO13" s="514"/>
    </x:row>
    <x:row r="14" ht="19" customHeight="1">
      <x:c r="B14" s="509">
        <x:v>13</x:v>
      </x:c>
      <x:c r="C14" s="512">
        <x:v>53</x:v>
      </x:c>
      <x:c r="D14" s="512">
        <x:v>23</x:v>
      </x:c>
      <x:c r="E14" s="513">
        <x:v>12</x:v>
      </x:c>
      <x:c r="F14" s="513">
        <x:v>76</x:v>
      </x:c>
      <x:c r="G14" s="512">
        <x:v>186</x:v>
      </x:c>
      <x:c r="H14" s="512">
        <x:v>116</x:v>
      </x:c>
      <x:c r="I14" s="512">
        <x:v>98</x:v>
      </x:c>
      <x:c r="J14" s="512">
        <x:v>40</x:v>
      </x:c>
      <x:c r="K14" s="512">
        <x:v>36</x:v>
      </x:c>
      <x:c r="L14" s="512">
        <x:v>3</x:v>
      </x:c>
      <x:c r="M14" s="512">
        <x:v>8</x:v>
      </x:c>
      <x:c r="N14" s="512">
        <x:v>0</x:v>
      </x:c>
      <x:c r="O14" s="512">
        <x:v>74</x:v>
      </x:c>
      <x:c r="P14" s="512">
        <x:v>232</x:v>
      </x:c>
      <x:c r="Q14" s="512">
        <x:v>217</x:v>
      </x:c>
      <x:c r="R14" s="512">
        <x:v>207</x:v>
      </x:c>
      <x:c r="S14" s="512">
        <x:v>193</x:v>
      </x:c>
      <x:c r="T14" s="512">
        <x:v>201</x:v>
      </x:c>
      <x:c r="U14" s="512">
        <x:v>160</x:v>
      </x:c>
      <x:c r="V14" s="512">
        <x:v>177</x:v>
      </x:c>
      <x:c r="W14" s="512">
        <x:v>355</x:v>
      </x:c>
      <x:c r="X14" s="512">
        <x:v>118</x:v>
      </x:c>
      <x:c r="Y14" s="512">
        <x:v>54</x:v>
      </x:c>
      <x:c r="Z14" s="512"/>
      <x:c r="AA14" s="512"/>
      <x:c r="AB14" s="512"/>
      <x:c r="AC14" s="512"/>
      <x:c r="AD14" s="512"/>
      <x:c r="AE14" s="512"/>
      <x:c r="AF14" s="512"/>
      <x:c r="AG14" s="512"/>
      <x:c r="AH14" s="512"/>
      <x:c r="AI14" s="512"/>
      <x:c r="AJ14" s="512"/>
      <x:c r="AK14" s="512"/>
      <x:c r="AL14" s="512"/>
      <x:c r="AM14" s="512"/>
      <x:c r="AN14" s="512"/>
      <x:c r="AO14" s="514"/>
    </x:row>
    <x:row r="15" ht="19" customHeight="1">
      <x:c r="B15" s="509">
        <x:v>14</x:v>
      </x:c>
      <x:c r="C15" s="512">
        <x:v>12</x:v>
      </x:c>
      <x:c r="D15" s="512">
        <x:v>0</x:v>
      </x:c>
      <x:c r="E15" s="513">
        <x:v>0</x:v>
      </x:c>
      <x:c r="F15" s="513">
        <x:v>23</x:v>
      </x:c>
      <x:c r="G15" s="512">
        <x:v>14</x:v>
      </x:c>
      <x:c r="H15" s="512">
        <x:v>40</x:v>
      </x:c>
      <x:c r="I15" s="512">
        <x:v>19</x:v>
      </x:c>
      <x:c r="J15" s="512">
        <x:v>3</x:v>
      </x:c>
      <x:c r="K15" s="512">
        <x:v>19</x:v>
      </x:c>
      <x:c r="L15" s="512">
        <x:v>25</x:v>
      </x:c>
      <x:c r="M15" s="512">
        <x:v>40</x:v>
      </x:c>
      <x:c r="N15" s="512">
        <x:v>42</x:v>
      </x:c>
      <x:c r="O15" s="512">
        <x:v>12</x:v>
      </x:c>
      <x:c r="P15" s="512">
        <x:v>66</x:v>
      </x:c>
      <x:c r="Q15" s="512">
        <x:v>7</x:v>
      </x:c>
      <x:c r="R15" s="512">
        <x:v>2</x:v>
      </x:c>
      <x:c r="S15" s="512">
        <x:v>7</x:v>
      </x:c>
      <x:c r="T15" s="512">
        <x:v>83</x:v>
      </x:c>
      <x:c r="U15" s="512">
        <x:v>50</x:v>
      </x:c>
      <x:c r="V15" s="512">
        <x:v>17</x:v>
      </x:c>
      <x:c r="W15" s="512">
        <x:v>0</x:v>
      </x:c>
      <x:c r="X15" s="512">
        <x:v>9</x:v>
      </x:c>
      <x:c r="Y15" s="512">
        <x:v>5</x:v>
      </x:c>
      <x:c r="Z15" s="512"/>
      <x:c r="AA15" s="512"/>
      <x:c r="AB15" s="512"/>
      <x:c r="AC15" s="512"/>
      <x:c r="AD15" s="512"/>
      <x:c r="AE15" s="512"/>
      <x:c r="AF15" s="512"/>
      <x:c r="AG15" s="512"/>
      <x:c r="AH15" s="512"/>
      <x:c r="AI15" s="512"/>
      <x:c r="AJ15" s="512"/>
      <x:c r="AK15" s="512"/>
      <x:c r="AL15" s="512"/>
      <x:c r="AM15" s="512"/>
      <x:c r="AN15" s="512"/>
      <x:c r="AO15" s="514"/>
    </x:row>
    <x:row r="16" ht="19" customHeight="1">
      <x:c r="B16" s="509">
        <x:v>15</x:v>
      </x:c>
      <x:c r="C16" s="512">
        <x:v>94</x:v>
      </x:c>
      <x:c r="D16" s="512">
        <x:v>207</x:v>
      </x:c>
      <x:c r="E16" s="513">
        <x:v>93</x:v>
      </x:c>
      <x:c r="F16" s="513">
        <x:v>6</x:v>
      </x:c>
      <x:c r="G16" s="512">
        <x:v>7</x:v>
      </x:c>
      <x:c r="H16" s="512">
        <x:v>18</x:v>
      </x:c>
      <x:c r="I16" s="512">
        <x:v>9</x:v>
      </x:c>
      <x:c r="J16" s="512">
        <x:v>31</x:v>
      </x:c>
      <x:c r="K16" s="512">
        <x:v>35</x:v>
      </x:c>
      <x:c r="L16" s="512">
        <x:v>16</x:v>
      </x:c>
      <x:c r="M16" s="512">
        <x:v>26</x:v>
      </x:c>
      <x:c r="N16" s="512">
        <x:v>191</x:v>
      </x:c>
      <x:c r="O16" s="512">
        <x:v>115</x:v>
      </x:c>
      <x:c r="P16" s="512">
        <x:v>68</x:v>
      </x:c>
      <x:c r="Q16" s="512">
        <x:v>11</x:v>
      </x:c>
      <x:c r="R16" s="512">
        <x:v>36</x:v>
      </x:c>
      <x:c r="S16" s="512">
        <x:v>25</x:v>
      </x:c>
      <x:c r="T16" s="512">
        <x:v>52</x:v>
      </x:c>
      <x:c r="U16" s="512">
        <x:v>2</x:v>
      </x:c>
      <x:c r="V16" s="512">
        <x:v>0</x:v>
      </x:c>
      <x:c r="W16" s="512">
        <x:v>115</x:v>
      </x:c>
      <x:c r="X16" s="512">
        <x:v>27</x:v>
      </x:c>
      <x:c r="Y16" s="512">
        <x:v>11</x:v>
      </x:c>
      <x:c r="Z16" s="512"/>
      <x:c r="AA16" s="512"/>
      <x:c r="AB16" s="512"/>
      <x:c r="AC16" s="512"/>
      <x:c r="AD16" s="512"/>
      <x:c r="AE16" s="512"/>
      <x:c r="AF16" s="512"/>
      <x:c r="AG16" s="512"/>
      <x:c r="AH16" s="512"/>
      <x:c r="AI16" s="512"/>
      <x:c r="AJ16" s="512"/>
      <x:c r="AK16" s="512"/>
      <x:c r="AL16" s="512"/>
      <x:c r="AM16" s="512"/>
      <x:c r="AN16" s="512"/>
      <x:c r="AO16" s="514"/>
    </x:row>
    <x:row r="17" ht="19" customHeight="1">
      <x:c r="B17" s="509">
        <x:v>16</x:v>
      </x:c>
      <x:c r="C17" s="512">
        <x:v>125</x:v>
      </x:c>
      <x:c r="D17" s="512">
        <x:v>142</x:v>
      </x:c>
      <x:c r="E17" s="513">
        <x:v>162</x:v>
      </x:c>
      <x:c r="F17" s="513">
        <x:v>38</x:v>
      </x:c>
      <x:c r="G17" s="512">
        <x:v>12</x:v>
      </x:c>
      <x:c r="H17" s="512">
        <x:v>11</x:v>
      </x:c>
      <x:c r="I17" s="512">
        <x:v>2</x:v>
      </x:c>
      <x:c r="J17" s="512">
        <x:v>33</x:v>
      </x:c>
      <x:c r="K17" s="512">
        <x:v>109</x:v>
      </x:c>
      <x:c r="L17" s="512">
        <x:v>64</x:v>
      </x:c>
      <x:c r="M17" s="512">
        <x:v>11</x:v>
      </x:c>
      <x:c r="N17" s="512">
        <x:v>130</x:v>
      </x:c>
      <x:c r="O17" s="512">
        <x:v>201</x:v>
      </x:c>
      <x:c r="P17" s="512">
        <x:v>177</x:v>
      </x:c>
      <x:c r="Q17" s="512">
        <x:v>117</x:v>
      </x:c>
      <x:c r="R17" s="512">
        <x:v>76</x:v>
      </x:c>
      <x:c r="S17" s="512">
        <x:v>120</x:v>
      </x:c>
      <x:c r="T17" s="512">
        <x:v>17</x:v>
      </x:c>
      <x:c r="U17" s="512">
        <x:v>0</x:v>
      </x:c>
      <x:c r="V17" s="512">
        <x:v>287</x:v>
      </x:c>
      <x:c r="W17" s="512">
        <x:v>22</x:v>
      </x:c>
      <x:c r="X17" s="512">
        <x:v>28</x:v>
      </x:c>
      <x:c r="Y17" s="512">
        <x:v>100</x:v>
      </x:c>
      <x:c r="Z17" s="512"/>
      <x:c r="AA17" s="512"/>
      <x:c r="AB17" s="512"/>
      <x:c r="AC17" s="512"/>
      <x:c r="AD17" s="512"/>
      <x:c r="AE17" s="512"/>
      <x:c r="AF17" s="512"/>
      <x:c r="AG17" s="512"/>
      <x:c r="AH17" s="512"/>
      <x:c r="AI17" s="512"/>
      <x:c r="AJ17" s="512"/>
      <x:c r="AK17" s="512"/>
      <x:c r="AL17" s="512"/>
      <x:c r="AM17" s="512"/>
      <x:c r="AN17" s="512"/>
      <x:c r="AO17" s="514"/>
    </x:row>
    <x:row r="18" ht="19" customHeight="1">
      <x:c r="B18" s="509">
        <x:v>17</x:v>
      </x:c>
      <x:c r="C18" s="512">
        <x:v>37</x:v>
      </x:c>
      <x:c r="D18" s="512">
        <x:v>0</x:v>
      </x:c>
      <x:c r="E18" s="513">
        <x:v>39</x:v>
      </x:c>
      <x:c r="F18" s="513">
        <x:v>42</x:v>
      </x:c>
      <x:c r="G18" s="512">
        <x:v>96</x:v>
      </x:c>
      <x:c r="H18" s="512">
        <x:v>169</x:v>
      </x:c>
      <x:c r="I18" s="512">
        <x:v>160</x:v>
      </x:c>
      <x:c r="J18" s="512">
        <x:v>133</x:v>
      </x:c>
      <x:c r="K18" s="512">
        <x:v>154</x:v>
      </x:c>
      <x:c r="L18" s="512">
        <x:v>118</x:v>
      </x:c>
      <x:c r="M18" s="512">
        <x:v>89</x:v>
      </x:c>
      <x:c r="N18" s="512">
        <x:v>232</x:v>
      </x:c>
      <x:c r="O18" s="512">
        <x:v>293</x:v>
      </x:c>
      <x:c r="P18" s="512">
        <x:v>163</x:v>
      </x:c>
      <x:c r="Q18" s="512">
        <x:v>80</x:v>
      </x:c>
      <x:c r="R18" s="512">
        <x:v>113</x:v>
      </x:c>
      <x:c r="S18" s="512">
        <x:v>22</x:v>
      </x:c>
      <x:c r="T18" s="512">
        <x:v>38</x:v>
      </x:c>
      <x:c r="U18" s="512">
        <x:v>41</x:v>
      </x:c>
      <x:c r="V18" s="512">
        <x:v>11</x:v>
      </x:c>
      <x:c r="W18" s="512">
        <x:v>210</x:v>
      </x:c>
      <x:c r="X18" s="512">
        <x:v>80</x:v>
      </x:c>
      <x:c r="Y18" s="512">
        <x:v>57</x:v>
      </x:c>
      <x:c r="Z18" s="512"/>
      <x:c r="AA18" s="512"/>
      <x:c r="AB18" s="512"/>
      <x:c r="AC18" s="512"/>
      <x:c r="AD18" s="512"/>
      <x:c r="AE18" s="512"/>
      <x:c r="AF18" s="512"/>
      <x:c r="AG18" s="512"/>
      <x:c r="AH18" s="512"/>
      <x:c r="AI18" s="512"/>
      <x:c r="AJ18" s="512"/>
      <x:c r="AK18" s="512"/>
      <x:c r="AL18" s="512"/>
      <x:c r="AM18" s="512"/>
      <x:c r="AN18" s="512"/>
      <x:c r="AO18" s="514"/>
    </x:row>
    <x:row r="19" ht="19" customHeight="1">
      <x:c r="B19" s="509">
        <x:v>18</x:v>
      </x:c>
      <x:c r="C19" s="512">
        <x:v>124</x:v>
      </x:c>
      <x:c r="D19" s="512">
        <x:v>69</x:v>
      </x:c>
      <x:c r="E19" s="513">
        <x:v>46</x:v>
      </x:c>
      <x:c r="F19" s="513">
        <x:v>45</x:v>
      </x:c>
      <x:c r="G19" s="512">
        <x:v>55</x:v>
      </x:c>
      <x:c r="H19" s="512">
        <x:v>63</x:v>
      </x:c>
      <x:c r="I19" s="512">
        <x:v>48</x:v>
      </x:c>
      <x:c r="J19" s="512">
        <x:v>19</x:v>
      </x:c>
      <x:c r="K19" s="512">
        <x:v>15</x:v>
      </x:c>
      <x:c r="L19" s="512">
        <x:v>18</x:v>
      </x:c>
      <x:c r="M19" s="512">
        <x:v>32</x:v>
      </x:c>
      <x:c r="N19" s="512">
        <x:v>78</x:v>
      </x:c>
      <x:c r="O19" s="512">
        <x:v>83</x:v>
      </x:c>
      <x:c r="P19" s="512">
        <x:v>28</x:v>
      </x:c>
      <x:c r="Q19" s="512">
        <x:v>48</x:v>
      </x:c>
      <x:c r="R19" s="512">
        <x:v>52</x:v>
      </x:c>
      <x:c r="S19" s="512">
        <x:v>36</x:v>
      </x:c>
      <x:c r="T19" s="512">
        <x:v>99</x:v>
      </x:c>
      <x:c r="U19" s="512">
        <x:v>60</x:v>
      </x:c>
      <x:c r="V19" s="512">
        <x:v>65</x:v>
      </x:c>
      <x:c r="W19" s="512">
        <x:v>48</x:v>
      </x:c>
      <x:c r="X19" s="512">
        <x:v>52</x:v>
      </x:c>
      <x:c r="Y19" s="512">
        <x:v>31</x:v>
      </x:c>
      <x:c r="Z19" s="512"/>
      <x:c r="AA19" s="512"/>
      <x:c r="AB19" s="512"/>
      <x:c r="AC19" s="512"/>
      <x:c r="AD19" s="512"/>
      <x:c r="AE19" s="512"/>
      <x:c r="AF19" s="512"/>
      <x:c r="AG19" s="512"/>
      <x:c r="AH19" s="512"/>
      <x:c r="AI19" s="512"/>
      <x:c r="AJ19" s="512"/>
      <x:c r="AK19" s="512"/>
      <x:c r="AL19" s="512"/>
      <x:c r="AM19" s="512"/>
      <x:c r="AN19" s="512"/>
      <x:c r="AO19" s="514"/>
    </x:row>
    <x:row r="20" ht="19" customHeight="1">
      <x:c r="B20" s="509">
        <x:v>19</x:v>
      </x:c>
      <x:c r="C20" s="512">
        <x:v>78</x:v>
      </x:c>
      <x:c r="D20" s="512">
        <x:v>33</x:v>
      </x:c>
      <x:c r="E20" s="513">
        <x:v>39</x:v>
      </x:c>
      <x:c r="F20" s="513">
        <x:v>21</x:v>
      </x:c>
      <x:c r="G20" s="512">
        <x:v>32</x:v>
      </x:c>
      <x:c r="H20" s="512">
        <x:v>2</x:v>
      </x:c>
      <x:c r="I20" s="512">
        <x:v>7</x:v>
      </x:c>
      <x:c r="J20" s="512">
        <x:v>17</x:v>
      </x:c>
      <x:c r="K20" s="512">
        <x:v>7</x:v>
      </x:c>
      <x:c r="L20" s="512">
        <x:v>11</x:v>
      </x:c>
      <x:c r="M20" s="512">
        <x:v>20</x:v>
      </x:c>
      <x:c r="N20" s="512">
        <x:v>21</x:v>
      </x:c>
      <x:c r="O20" s="512">
        <x:v>14</x:v>
      </x:c>
      <x:c r="P20" s="512">
        <x:v>33</x:v>
      </x:c>
      <x:c r="Q20" s="512">
        <x:v>8</x:v>
      </x:c>
      <x:c r="R20" s="512">
        <x:v>12</x:v>
      </x:c>
      <x:c r="S20" s="512">
        <x:v>12</x:v>
      </x:c>
      <x:c r="T20" s="512">
        <x:v>13</x:v>
      </x:c>
      <x:c r="U20" s="512">
        <x:v>25</x:v>
      </x:c>
      <x:c r="V20" s="512">
        <x:v>22</x:v>
      </x:c>
      <x:c r="W20" s="512">
        <x:v>36</x:v>
      </x:c>
      <x:c r="X20" s="512">
        <x:v>35</x:v>
      </x:c>
      <x:c r="Y20" s="512">
        <x:v>5</x:v>
      </x:c>
      <x:c r="Z20" s="512"/>
      <x:c r="AA20" s="512"/>
      <x:c r="AB20" s="512"/>
      <x:c r="AC20" s="512"/>
      <x:c r="AD20" s="512"/>
      <x:c r="AE20" s="512"/>
      <x:c r="AF20" s="512"/>
      <x:c r="AG20" s="512"/>
      <x:c r="AH20" s="512"/>
      <x:c r="AI20" s="512"/>
      <x:c r="AJ20" s="512"/>
      <x:c r="AK20" s="512"/>
      <x:c r="AL20" s="512"/>
      <x:c r="AM20" s="512"/>
      <x:c r="AN20" s="512"/>
      <x:c r="AO20" s="514"/>
    </x:row>
    <x:row r="21" ht="19" customHeight="1">
      <x:c r="B21" s="509">
        <x:v>20</x:v>
      </x:c>
      <x:c r="C21" s="512">
        <x:v>95</x:v>
      </x:c>
      <x:c r="D21" s="512">
        <x:v>57</x:v>
      </x:c>
      <x:c r="E21" s="513">
        <x:v>134</x:v>
      </x:c>
      <x:c r="F21" s="513">
        <x:v>131</x:v>
      </x:c>
      <x:c r="G21" s="512">
        <x:v>86</x:v>
      </x:c>
      <x:c r="H21" s="512">
        <x:v>19</x:v>
      </x:c>
      <x:c r="I21" s="512">
        <x:v>9</x:v>
      </x:c>
      <x:c r="J21" s="512">
        <x:v>123</x:v>
      </x:c>
      <x:c r="K21" s="512">
        <x:v>105</x:v>
      </x:c>
      <x:c r="L21" s="512">
        <x:v>130</x:v>
      </x:c>
      <x:c r="M21" s="512">
        <x:v>62</x:v>
      </x:c>
      <x:c r="N21" s="512">
        <x:v>53</x:v>
      </x:c>
      <x:c r="O21" s="512">
        <x:v>269</x:v>
      </x:c>
      <x:c r="P21" s="512">
        <x:v>31</x:v>
      </x:c>
      <x:c r="Q21" s="512">
        <x:v>143</x:v>
      </x:c>
      <x:c r="R21" s="512">
        <x:v>23</x:v>
      </x:c>
      <x:c r="S21" s="512">
        <x:v>9</x:v>
      </x:c>
      <x:c r="T21" s="512">
        <x:v>89</x:v>
      </x:c>
      <x:c r="U21" s="512">
        <x:v>59</x:v>
      </x:c>
      <x:c r="V21" s="512">
        <x:v>164</x:v>
      </x:c>
      <x:c r="W21" s="512">
        <x:v>36</x:v>
      </x:c>
      <x:c r="X21" s="512">
        <x:v>68</x:v>
      </x:c>
      <x:c r="Y21" s="512">
        <x:v>32</x:v>
      </x:c>
      <x:c r="Z21" s="512"/>
      <x:c r="AA21" s="512"/>
      <x:c r="AB21" s="512"/>
      <x:c r="AC21" s="512"/>
      <x:c r="AD21" s="512"/>
      <x:c r="AE21" s="512"/>
      <x:c r="AF21" s="512"/>
      <x:c r="AG21" s="512"/>
      <x:c r="AH21" s="512"/>
      <x:c r="AI21" s="512"/>
      <x:c r="AJ21" s="512"/>
      <x:c r="AK21" s="512"/>
      <x:c r="AL21" s="512"/>
      <x:c r="AM21" s="512"/>
      <x:c r="AN21" s="512"/>
      <x:c r="AO21" s="514"/>
    </x:row>
    <x:row r="22" ht="19" customHeight="1">
      <x:c r="B22" s="509">
        <x:v>21</x:v>
      </x:c>
      <x:c r="C22" s="512">
        <x:v>112</x:v>
      </x:c>
      <x:c r="D22" s="512">
        <x:v>134</x:v>
      </x:c>
      <x:c r="E22" s="513">
        <x:v>73</x:v>
      </x:c>
      <x:c r="F22" s="513">
        <x:v>120</x:v>
      </x:c>
      <x:c r="G22" s="512">
        <x:v>149</x:v>
      </x:c>
      <x:c r="H22" s="512">
        <x:v>129</x:v>
      </x:c>
      <x:c r="I22" s="512">
        <x:v>6</x:v>
      </x:c>
      <x:c r="J22" s="512">
        <x:v>20</x:v>
      </x:c>
      <x:c r="K22" s="512">
        <x:v>50</x:v>
      </x:c>
      <x:c r="L22" s="512">
        <x:v>12</x:v>
      </x:c>
      <x:c r="M22" s="512">
        <x:v>1</x:v>
      </x:c>
      <x:c r="N22" s="512">
        <x:v>0</x:v>
      </x:c>
      <x:c r="O22" s="512">
        <x:v>8</x:v>
      </x:c>
      <x:c r="P22" s="512">
        <x:v>0</x:v>
      </x:c>
      <x:c r="Q22" s="512">
        <x:v>0</x:v>
      </x:c>
      <x:c r="R22" s="512">
        <x:v>0</x:v>
      </x:c>
      <x:c r="S22" s="512">
        <x:v>0</x:v>
      </x:c>
      <x:c r="T22" s="512">
        <x:v>6</x:v>
      </x:c>
      <x:c r="U22" s="512">
        <x:v>0</x:v>
      </x:c>
      <x:c r="V22" s="512">
        <x:v>0</x:v>
      </x:c>
      <x:c r="W22" s="512">
        <x:v>0</x:v>
      </x:c>
      <x:c r="X22" s="512">
        <x:v>0</x:v>
      </x:c>
      <x:c r="Y22" s="512">
        <x:v>0</x:v>
      </x:c>
      <x:c r="Z22" s="512"/>
      <x:c r="AA22" s="512"/>
      <x:c r="AB22" s="512"/>
      <x:c r="AC22" s="512"/>
      <x:c r="AD22" s="512"/>
      <x:c r="AE22" s="512"/>
      <x:c r="AF22" s="512"/>
      <x:c r="AG22" s="512"/>
      <x:c r="AH22" s="512"/>
      <x:c r="AI22" s="512"/>
      <x:c r="AJ22" s="512"/>
      <x:c r="AK22" s="512"/>
      <x:c r="AL22" s="512"/>
      <x:c r="AM22" s="512"/>
      <x:c r="AN22" s="512"/>
      <x:c r="AO22" s="514"/>
    </x:row>
    <x:row r="23" ht="19" customHeight="1">
      <x:c r="B23" s="509">
        <x:v>22</x:v>
      </x:c>
      <x:c r="C23" s="512">
        <x:v>65</x:v>
      </x:c>
      <x:c r="D23" s="512">
        <x:v>14</x:v>
      </x:c>
      <x:c r="E23" s="513">
        <x:v>120</x:v>
      </x:c>
      <x:c r="F23" s="513">
        <x:v>66</x:v>
      </x:c>
      <x:c r="G23" s="512">
        <x:v>129</x:v>
      </x:c>
      <x:c r="H23" s="512">
        <x:v>83</x:v>
      </x:c>
      <x:c r="I23" s="512">
        <x:v>78</x:v>
      </x:c>
      <x:c r="J23" s="512">
        <x:v>71</x:v>
      </x:c>
      <x:c r="K23" s="512">
        <x:v>84</x:v>
      </x:c>
      <x:c r="L23" s="512">
        <x:v>99</x:v>
      </x:c>
      <x:c r="M23" s="512">
        <x:v>24</x:v>
      </x:c>
      <x:c r="N23" s="512">
        <x:v>204</x:v>
      </x:c>
      <x:c r="O23" s="512">
        <x:v>212</x:v>
      </x:c>
      <x:c r="P23" s="512">
        <x:v>120</x:v>
      </x:c>
      <x:c r="Q23" s="512">
        <x:v>65</x:v>
      </x:c>
      <x:c r="R23" s="512">
        <x:v>99</x:v>
      </x:c>
      <x:c r="S23" s="512">
        <x:v>32</x:v>
      </x:c>
      <x:c r="T23" s="512">
        <x:v>138</x:v>
      </x:c>
      <x:c r="U23" s="512">
        <x:v>129</x:v>
      </x:c>
      <x:c r="V23" s="512">
        <x:v>217</x:v>
      </x:c>
      <x:c r="W23" s="512">
        <x:v>299</x:v>
      </x:c>
      <x:c r="X23" s="512">
        <x:v>62</x:v>
      </x:c>
      <x:c r="Y23" s="512">
        <x:v>32</x:v>
      </x:c>
      <x:c r="Z23" s="512"/>
      <x:c r="AA23" s="512"/>
      <x:c r="AB23" s="512"/>
      <x:c r="AC23" s="512"/>
      <x:c r="AD23" s="512"/>
      <x:c r="AE23" s="512"/>
      <x:c r="AF23" s="512"/>
      <x:c r="AG23" s="512"/>
      <x:c r="AH23" s="512"/>
      <x:c r="AI23" s="512"/>
      <x:c r="AJ23" s="512"/>
      <x:c r="AK23" s="512"/>
      <x:c r="AL23" s="512"/>
      <x:c r="AM23" s="512"/>
      <x:c r="AN23" s="512"/>
      <x:c r="AO23" s="514"/>
    </x:row>
    <x:row r="24" ht="19" customHeight="1">
      <x:c r="B24" s="509">
        <x:v>23</x:v>
      </x:c>
      <x:c r="C24" s="512">
        <x:v>196</x:v>
      </x:c>
      <x:c r="D24" s="512">
        <x:v>88</x:v>
      </x:c>
      <x:c r="E24" s="513">
        <x:v>120</x:v>
      </x:c>
      <x:c r="F24" s="513">
        <x:v>137</x:v>
      </x:c>
      <x:c r="G24" s="512">
        <x:v>129</x:v>
      </x:c>
      <x:c r="H24" s="512">
        <x:v>151</x:v>
      </x:c>
      <x:c r="I24" s="512">
        <x:v>44</x:v>
      </x:c>
      <x:c r="J24" s="512">
        <x:v>100</x:v>
      </x:c>
      <x:c r="K24" s="512">
        <x:v>63</x:v>
      </x:c>
      <x:c r="L24" s="512">
        <x:v>31</x:v>
      </x:c>
      <x:c r="M24" s="512">
        <x:v>42</x:v>
      </x:c>
      <x:c r="N24" s="512">
        <x:v>69</x:v>
      </x:c>
      <x:c r="O24" s="512">
        <x:v>19</x:v>
      </x:c>
      <x:c r="P24" s="512">
        <x:v>106</x:v>
      </x:c>
      <x:c r="Q24" s="512">
        <x:v>41</x:v>
      </x:c>
      <x:c r="R24" s="512">
        <x:v>31</x:v>
      </x:c>
      <x:c r="S24" s="512">
        <x:v>53</x:v>
      </x:c>
      <x:c r="T24" s="512">
        <x:v>59</x:v>
      </x:c>
      <x:c r="U24" s="512">
        <x:v>108</x:v>
      </x:c>
      <x:c r="V24" s="512">
        <x:v>58</x:v>
      </x:c>
      <x:c r="W24" s="512">
        <x:v>104</x:v>
      </x:c>
      <x:c r="X24" s="512">
        <x:v>70</x:v>
      </x:c>
      <x:c r="Y24" s="512">
        <x:v>10</x:v>
      </x:c>
      <x:c r="Z24" s="512"/>
      <x:c r="AA24" s="512"/>
      <x:c r="AB24" s="512"/>
      <x:c r="AC24" s="512"/>
      <x:c r="AD24" s="512"/>
      <x:c r="AE24" s="512"/>
      <x:c r="AF24" s="512"/>
      <x:c r="AG24" s="512"/>
      <x:c r="AH24" s="512"/>
      <x:c r="AI24" s="512"/>
      <x:c r="AJ24" s="512"/>
      <x:c r="AK24" s="512"/>
      <x:c r="AL24" s="512"/>
      <x:c r="AM24" s="512"/>
      <x:c r="AN24" s="512"/>
      <x:c r="AO24" s="514"/>
    </x:row>
    <x:row r="25" ht="19" customHeight="1">
      <x:c r="B25" s="509">
        <x:v>24</x:v>
      </x:c>
      <x:c r="C25" s="512">
        <x:v>0</x:v>
      </x:c>
      <x:c r="D25" s="512">
        <x:v>2</x:v>
      </x:c>
      <x:c r="E25" s="513">
        <x:v>4</x:v>
      </x:c>
      <x:c r="F25" s="513">
        <x:v>0</x:v>
      </x:c>
      <x:c r="G25" s="512">
        <x:v>2</x:v>
      </x:c>
      <x:c r="H25" s="512">
        <x:v>11</x:v>
      </x:c>
      <x:c r="I25" s="512">
        <x:v>16</x:v>
      </x:c>
      <x:c r="J25" s="512">
        <x:v>30</x:v>
      </x:c>
      <x:c r="K25" s="512">
        <x:v>8</x:v>
      </x:c>
      <x:c r="L25" s="512">
        <x:v>2</x:v>
      </x:c>
      <x:c r="M25" s="512">
        <x:v>0</x:v>
      </x:c>
      <x:c r="N25" s="512">
        <x:v>0</x:v>
      </x:c>
      <x:c r="O25" s="512">
        <x:v>0</x:v>
      </x:c>
      <x:c r="P25" s="512">
        <x:v>0</x:v>
      </x:c>
      <x:c r="Q25" s="512">
        <x:v>0</x:v>
      </x:c>
      <x:c r="R25" s="512">
        <x:v>0</x:v>
      </x:c>
      <x:c r="S25" s="512">
        <x:v>0</x:v>
      </x:c>
      <x:c r="T25" s="512">
        <x:v>0</x:v>
      </x:c>
      <x:c r="U25" s="512">
        <x:v>0</x:v>
      </x:c>
      <x:c r="V25" s="512"/>
      <x:c r="W25" s="512">
        <x:v>3</x:v>
      </x:c>
      <x:c r="X25" s="512">
        <x:v>13</x:v>
      </x:c>
      <x:c r="Y25" s="512">
        <x:v>3</x:v>
      </x:c>
      <x:c r="Z25" s="512"/>
      <x:c r="AA25" s="512"/>
      <x:c r="AB25" s="512"/>
      <x:c r="AC25" s="512"/>
      <x:c r="AD25" s="512"/>
      <x:c r="AE25" s="512"/>
      <x:c r="AF25" s="512"/>
      <x:c r="AG25" s="512"/>
      <x:c r="AH25" s="512"/>
      <x:c r="AI25" s="512"/>
      <x:c r="AJ25" s="512"/>
      <x:c r="AK25" s="512"/>
      <x:c r="AL25" s="512"/>
      <x:c r="AM25" s="512"/>
      <x:c r="AN25" s="512"/>
      <x:c r="AO25" s="514"/>
    </x:row>
    <x:row r="26" ht="19" customHeight="1">
      <x:c r="B26" s="509">
        <x:v>25</x:v>
      </x:c>
      <x:c r="C26" s="512">
        <x:v>56</x:v>
      </x:c>
      <x:c r="D26" s="512">
        <x:v>30</x:v>
      </x:c>
      <x:c r="E26" s="513">
        <x:v>40</x:v>
      </x:c>
      <x:c r="F26" s="513">
        <x:v>24</x:v>
      </x:c>
      <x:c r="G26" s="512">
        <x:v>30</x:v>
      </x:c>
      <x:c r="H26" s="512">
        <x:v>11</x:v>
      </x:c>
      <x:c r="I26" s="512">
        <x:v>10</x:v>
      </x:c>
      <x:c r="J26" s="512">
        <x:v>20</x:v>
      </x:c>
      <x:c r="K26" s="512">
        <x:v>9</x:v>
      </x:c>
      <x:c r="L26" s="512">
        <x:v>12</x:v>
      </x:c>
      <x:c r="M26" s="512">
        <x:v>0</x:v>
      </x:c>
      <x:c r="N26" s="512">
        <x:v>1</x:v>
      </x:c>
      <x:c r="O26" s="512">
        <x:v>39</x:v>
      </x:c>
      <x:c r="P26" s="512">
        <x:v>106</x:v>
      </x:c>
      <x:c r="Q26" s="512">
        <x:v>70</x:v>
      </x:c>
      <x:c r="R26" s="512">
        <x:v>4</x:v>
      </x:c>
      <x:c r="S26" s="512">
        <x:v>29</x:v>
      </x:c>
      <x:c r="T26" s="512">
        <x:v>19</x:v>
      </x:c>
      <x:c r="U26" s="512">
        <x:v>42</x:v>
      </x:c>
      <x:c r="V26" s="512">
        <x:v>27</x:v>
      </x:c>
      <x:c r="W26" s="512">
        <x:v>19</x:v>
      </x:c>
      <x:c r="X26" s="512">
        <x:v>12</x:v>
      </x:c>
      <x:c r="Y26" s="512">
        <x:v>12</x:v>
      </x:c>
      <x:c r="Z26" s="512"/>
      <x:c r="AA26" s="512"/>
      <x:c r="AB26" s="512"/>
      <x:c r="AC26" s="512"/>
      <x:c r="AD26" s="512"/>
      <x:c r="AE26" s="512"/>
      <x:c r="AF26" s="512"/>
      <x:c r="AG26" s="512"/>
      <x:c r="AH26" s="512"/>
      <x:c r="AI26" s="512"/>
      <x:c r="AJ26" s="512"/>
      <x:c r="AK26" s="512"/>
      <x:c r="AL26" s="512"/>
      <x:c r="AM26" s="512"/>
      <x:c r="AN26" s="512"/>
      <x:c r="AO26" s="514"/>
    </x:row>
    <x:row r="27" ht="19" customHeight="1">
      <x:c r="B27" s="509">
        <x:v>26</x:v>
      </x:c>
      <x:c r="C27" s="512">
        <x:v>41</x:v>
      </x:c>
      <x:c r="D27" s="512">
        <x:v>14</x:v>
      </x:c>
      <x:c r="E27" s="513">
        <x:v>26</x:v>
      </x:c>
      <x:c r="F27" s="513">
        <x:v>51</x:v>
      </x:c>
      <x:c r="G27" s="512">
        <x:v>53</x:v>
      </x:c>
      <x:c r="H27" s="512">
        <x:v>19</x:v>
      </x:c>
      <x:c r="I27" s="512">
        <x:v>8</x:v>
      </x:c>
      <x:c r="J27" s="512">
        <x:v>2</x:v>
      </x:c>
      <x:c r="K27" s="512">
        <x:v>15</x:v>
      </x:c>
      <x:c r="L27" s="512">
        <x:v>6</x:v>
      </x:c>
      <x:c r="M27" s="512">
        <x:v>10</x:v>
      </x:c>
      <x:c r="N27" s="512">
        <x:v>93</x:v>
      </x:c>
      <x:c r="O27" s="512">
        <x:v>41</x:v>
      </x:c>
      <x:c r="P27" s="512">
        <x:v>2</x:v>
      </x:c>
      <x:c r="Q27" s="512">
        <x:v>0</x:v>
      </x:c>
      <x:c r="R27" s="512">
        <x:v>1</x:v>
      </x:c>
      <x:c r="S27" s="512">
        <x:v>6</x:v>
      </x:c>
      <x:c r="T27" s="512">
        <x:v>2</x:v>
      </x:c>
      <x:c r="U27" s="512">
        <x:v>0</x:v>
      </x:c>
      <x:c r="V27" s="512">
        <x:v>4</x:v>
      </x:c>
      <x:c r="W27" s="512">
        <x:v>11</x:v>
      </x:c>
      <x:c r="X27" s="512">
        <x:v>11</x:v>
      </x:c>
      <x:c r="Y27" s="512">
        <x:v>8</x:v>
      </x:c>
      <x:c r="Z27" s="512"/>
      <x:c r="AA27" s="512"/>
      <x:c r="AB27" s="512"/>
      <x:c r="AC27" s="512"/>
      <x:c r="AD27" s="512"/>
      <x:c r="AE27" s="512"/>
      <x:c r="AF27" s="512"/>
      <x:c r="AG27" s="512"/>
      <x:c r="AH27" s="512"/>
      <x:c r="AI27" s="512"/>
      <x:c r="AJ27" s="512"/>
      <x:c r="AK27" s="512"/>
      <x:c r="AL27" s="512"/>
      <x:c r="AM27" s="512"/>
      <x:c r="AN27" s="512"/>
      <x:c r="AO27" s="514"/>
    </x:row>
    <x:row r="28" ht="19" customHeight="1">
      <x:c r="B28" s="509">
        <x:v>27</x:v>
      </x:c>
      <x:c r="C28" s="512">
        <x:v>91</x:v>
      </x:c>
      <x:c r="D28" s="512">
        <x:v>59</x:v>
      </x:c>
      <x:c r="E28" s="513">
        <x:v>144</x:v>
      </x:c>
      <x:c r="F28" s="513">
        <x:v>149</x:v>
      </x:c>
      <x:c r="G28" s="512">
        <x:v>126</x:v>
      </x:c>
      <x:c r="H28" s="512">
        <x:v>182</x:v>
      </x:c>
      <x:c r="I28" s="512">
        <x:v>102</x:v>
      </x:c>
      <x:c r="J28" s="512">
        <x:v>225</x:v>
      </x:c>
      <x:c r="K28" s="512">
        <x:v>82</x:v>
      </x:c>
      <x:c r="L28" s="512">
        <x:v>172</x:v>
      </x:c>
      <x:c r="M28" s="512">
        <x:v>246</x:v>
      </x:c>
      <x:c r="N28" s="512">
        <x:v>233</x:v>
      </x:c>
      <x:c r="O28" s="512">
        <x:v>443</x:v>
      </x:c>
      <x:c r="P28" s="512">
        <x:v>126</x:v>
      </x:c>
      <x:c r="Q28" s="512">
        <x:v>46</x:v>
      </x:c>
      <x:c r="R28" s="512">
        <x:v>17</x:v>
      </x:c>
      <x:c r="S28" s="512">
        <x:v>0</x:v>
      </x:c>
      <x:c r="T28" s="512">
        <x:v>328</x:v>
      </x:c>
      <x:c r="U28" s="512">
        <x:v>114</x:v>
      </x:c>
      <x:c r="V28" s="512">
        <x:v>128</x:v>
      </x:c>
      <x:c r="W28" s="512">
        <x:v>164</x:v>
      </x:c>
      <x:c r="X28" s="512">
        <x:v>57</x:v>
      </x:c>
      <x:c r="Y28" s="512">
        <x:v>42</x:v>
      </x:c>
      <x:c r="Z28" s="512"/>
      <x:c r="AA28" s="512"/>
      <x:c r="AB28" s="512"/>
      <x:c r="AC28" s="512"/>
      <x:c r="AD28" s="512"/>
      <x:c r="AE28" s="512"/>
      <x:c r="AF28" s="512"/>
      <x:c r="AG28" s="512"/>
      <x:c r="AH28" s="512"/>
      <x:c r="AI28" s="512"/>
      <x:c r="AJ28" s="512"/>
      <x:c r="AK28" s="512"/>
      <x:c r="AL28" s="512"/>
      <x:c r="AM28" s="512"/>
      <x:c r="AN28" s="512"/>
      <x:c r="AO28" s="514"/>
    </x:row>
    <x:row r="29" ht="19" customHeight="1">
      <x:c r="B29" s="509">
        <x:v>28</x:v>
      </x:c>
      <x:c r="C29" s="512">
        <x:v>5</x:v>
      </x:c>
      <x:c r="D29" s="512">
        <x:v>28</x:v>
      </x:c>
      <x:c r="E29" s="513">
        <x:v>68</x:v>
      </x:c>
      <x:c r="F29" s="513">
        <x:v>17</x:v>
      </x:c>
      <x:c r="G29" s="512">
        <x:v>0</x:v>
      </x:c>
      <x:c r="H29" s="512">
        <x:v>107</x:v>
      </x:c>
      <x:c r="I29" s="512">
        <x:v>19</x:v>
      </x:c>
      <x:c r="J29" s="512">
        <x:v>94</x:v>
      </x:c>
      <x:c r="K29" s="512">
        <x:v>24</x:v>
      </x:c>
      <x:c r="L29" s="512">
        <x:v>3</x:v>
      </x:c>
      <x:c r="M29" s="512">
        <x:v>10</x:v>
      </x:c>
      <x:c r="N29" s="512">
        <x:v>5</x:v>
      </x:c>
      <x:c r="O29" s="512">
        <x:v>84</x:v>
      </x:c>
      <x:c r="P29" s="512">
        <x:v>0</x:v>
      </x:c>
      <x:c r="Q29" s="512">
        <x:v>207</x:v>
      </x:c>
      <x:c r="R29" s="512">
        <x:v>98</x:v>
      </x:c>
      <x:c r="S29" s="512">
        <x:v>104</x:v>
      </x:c>
      <x:c r="T29" s="512">
        <x:v>181</x:v>
      </x:c>
      <x:c r="U29" s="512">
        <x:v>90</x:v>
      </x:c>
      <x:c r="V29" s="512">
        <x:v>15</x:v>
      </x:c>
      <x:c r="W29" s="512">
        <x:v>10</x:v>
      </x:c>
      <x:c r="X29" s="512">
        <x:v>2</x:v>
      </x:c>
      <x:c r="Y29" s="512">
        <x:v>0</x:v>
      </x:c>
      <x:c r="Z29" s="512"/>
      <x:c r="AA29" s="512"/>
      <x:c r="AB29" s="512"/>
      <x:c r="AC29" s="512"/>
      <x:c r="AD29" s="512"/>
      <x:c r="AE29" s="512"/>
      <x:c r="AF29" s="512"/>
      <x:c r="AG29" s="512"/>
      <x:c r="AH29" s="512"/>
      <x:c r="AI29" s="512"/>
      <x:c r="AJ29" s="512"/>
      <x:c r="AK29" s="512"/>
      <x:c r="AL29" s="512"/>
      <x:c r="AM29" s="512"/>
      <x:c r="AN29" s="512"/>
      <x:c r="AO29" s="514"/>
    </x:row>
    <x:row r="30" ht="19" customHeight="1">
      <x:c r="B30" s="509">
        <x:v>29</x:v>
      </x:c>
      <x:c r="C30" s="512">
        <x:v>51</x:v>
      </x:c>
      <x:c r="D30" s="512">
        <x:v>82</x:v>
      </x:c>
      <x:c r="E30" s="513">
        <x:v>61</x:v>
      </x:c>
      <x:c r="F30" s="513">
        <x:v>22</x:v>
      </x:c>
      <x:c r="G30" s="512">
        <x:v>34</x:v>
      </x:c>
      <x:c r="H30" s="512">
        <x:v>15</x:v>
      </x:c>
      <x:c r="I30" s="512">
        <x:v>2</x:v>
      </x:c>
      <x:c r="J30" s="512">
        <x:v>23</x:v>
      </x:c>
      <x:c r="K30" s="512">
        <x:v>36</x:v>
      </x:c>
      <x:c r="L30" s="512">
        <x:v>17</x:v>
      </x:c>
      <x:c r="M30" s="512">
        <x:v>2</x:v>
      </x:c>
      <x:c r="N30" s="512">
        <x:v>72</x:v>
      </x:c>
      <x:c r="O30" s="512">
        <x:v>97</x:v>
      </x:c>
      <x:c r="P30" s="512">
        <x:v>82</x:v>
      </x:c>
      <x:c r="Q30" s="512">
        <x:v>40</x:v>
      </x:c>
      <x:c r="R30" s="512">
        <x:v>15</x:v>
      </x:c>
      <x:c r="S30" s="512">
        <x:v>49</x:v>
      </x:c>
      <x:c r="T30" s="512">
        <x:v>78</x:v>
      </x:c>
      <x:c r="U30" s="512">
        <x:v>44</x:v>
      </x:c>
      <x:c r="V30" s="512">
        <x:v>47</x:v>
      </x:c>
      <x:c r="W30" s="512">
        <x:v>69</x:v>
      </x:c>
      <x:c r="X30" s="512">
        <x:v>14</x:v>
      </x:c>
      <x:c r="Y30" s="512">
        <x:v>25</x:v>
      </x:c>
      <x:c r="Z30" s="512"/>
      <x:c r="AA30" s="512"/>
      <x:c r="AB30" s="512"/>
      <x:c r="AC30" s="512"/>
      <x:c r="AD30" s="512"/>
      <x:c r="AE30" s="512"/>
      <x:c r="AF30" s="512"/>
      <x:c r="AG30" s="512"/>
      <x:c r="AH30" s="512"/>
      <x:c r="AI30" s="512"/>
      <x:c r="AJ30" s="512"/>
      <x:c r="AK30" s="512"/>
      <x:c r="AL30" s="512"/>
      <x:c r="AM30" s="512"/>
      <x:c r="AN30" s="512"/>
      <x:c r="AO30" s="514"/>
    </x:row>
    <x:row r="31" ht="19" customHeight="1">
      <x:c r="B31" s="509">
        <x:v>30</x:v>
      </x:c>
      <x:c r="C31" s="512">
        <x:v>117</x:v>
      </x:c>
      <x:c r="D31" s="512">
        <x:v>0</x:v>
      </x:c>
      <x:c r="E31" s="513">
        <x:v>7</x:v>
      </x:c>
      <x:c r="F31" s="513">
        <x:v>0</x:v>
      </x:c>
      <x:c r="G31" s="512">
        <x:v>6</x:v>
      </x:c>
      <x:c r="H31" s="512">
        <x:v>22</x:v>
      </x:c>
      <x:c r="I31" s="512">
        <x:v>3</x:v>
      </x:c>
      <x:c r="J31" s="512">
        <x:v>1</x:v>
      </x:c>
      <x:c r="K31" s="512">
        <x:v>36</x:v>
      </x:c>
      <x:c r="L31" s="512">
        <x:v>15</x:v>
      </x:c>
      <x:c r="M31" s="512">
        <x:v>17</x:v>
      </x:c>
      <x:c r="N31" s="512">
        <x:v>57</x:v>
      </x:c>
      <x:c r="O31" s="512">
        <x:v>35</x:v>
      </x:c>
      <x:c r="P31" s="512">
        <x:v>50</x:v>
      </x:c>
      <x:c r="Q31" s="512">
        <x:v>32</x:v>
      </x:c>
      <x:c r="R31" s="512">
        <x:v>27</x:v>
      </x:c>
      <x:c r="S31" s="512">
        <x:v>58</x:v>
      </x:c>
      <x:c r="T31" s="512">
        <x:v>37</x:v>
      </x:c>
      <x:c r="U31" s="512">
        <x:v>105</x:v>
      </x:c>
      <x:c r="V31" s="512">
        <x:v>62</x:v>
      </x:c>
      <x:c r="W31" s="512">
        <x:v>48</x:v>
      </x:c>
      <x:c r="X31" s="512">
        <x:v>40</x:v>
      </x:c>
      <x:c r="Y31" s="512">
        <x:v>22</x:v>
      </x:c>
      <x:c r="Z31" s="512"/>
      <x:c r="AA31" s="512"/>
      <x:c r="AB31" s="512"/>
      <x:c r="AC31" s="512"/>
      <x:c r="AD31" s="512"/>
      <x:c r="AE31" s="512"/>
      <x:c r="AF31" s="512"/>
      <x:c r="AG31" s="512"/>
      <x:c r="AH31" s="512"/>
      <x:c r="AI31" s="512"/>
      <x:c r="AJ31" s="512"/>
      <x:c r="AK31" s="512"/>
      <x:c r="AL31" s="512"/>
      <x:c r="AM31" s="512"/>
      <x:c r="AN31" s="512"/>
      <x:c r="AO31" s="514"/>
    </x:row>
    <x:row r="32" ht="19" customHeight="1">
      <x:c r="B32" s="509">
        <x:v>31</x:v>
      </x:c>
      <x:c r="C32" s="512">
        <x:v>100</x:v>
      </x:c>
      <x:c r="D32" s="512">
        <x:v>73</x:v>
      </x:c>
      <x:c r="E32" s="513">
        <x:v>53</x:v>
      </x:c>
      <x:c r="F32" s="513">
        <x:v>29</x:v>
      </x:c>
      <x:c r="G32" s="512">
        <x:v>20</x:v>
      </x:c>
      <x:c r="H32" s="512">
        <x:v>24</x:v>
      </x:c>
      <x:c r="I32" s="512">
        <x:v>6</x:v>
      </x:c>
      <x:c r="J32" s="512">
        <x:v>8</x:v>
      </x:c>
      <x:c r="K32" s="512">
        <x:v>19</x:v>
      </x:c>
      <x:c r="L32" s="512">
        <x:v>5</x:v>
      </x:c>
      <x:c r="M32" s="512">
        <x:v>10</x:v>
      </x:c>
      <x:c r="N32" s="512">
        <x:v>229</x:v>
      </x:c>
      <x:c r="O32" s="512">
        <x:v>69</x:v>
      </x:c>
      <x:c r="P32" s="512">
        <x:v>0</x:v>
      </x:c>
      <x:c r="Q32" s="512">
        <x:v>35</x:v>
      </x:c>
      <x:c r="R32" s="512">
        <x:v>20</x:v>
      </x:c>
      <x:c r="S32" s="512">
        <x:v>139</x:v>
      </x:c>
      <x:c r="T32" s="512">
        <x:v>9</x:v>
      </x:c>
      <x:c r="U32" s="512">
        <x:v>3</x:v>
      </x:c>
      <x:c r="V32" s="512">
        <x:v>9</x:v>
      </x:c>
      <x:c r="W32" s="512">
        <x:v>2</x:v>
      </x:c>
      <x:c r="X32" s="512">
        <x:v>0</x:v>
      </x:c>
      <x:c r="Y32" s="512">
        <x:v>1</x:v>
      </x:c>
      <x:c r="Z32" s="512"/>
      <x:c r="AA32" s="512"/>
      <x:c r="AB32" s="512"/>
      <x:c r="AC32" s="512"/>
      <x:c r="AD32" s="512"/>
      <x:c r="AE32" s="512"/>
      <x:c r="AF32" s="512"/>
      <x:c r="AG32" s="512"/>
      <x:c r="AH32" s="512"/>
      <x:c r="AI32" s="512"/>
      <x:c r="AJ32" s="512"/>
      <x:c r="AK32" s="512"/>
      <x:c r="AL32" s="512"/>
      <x:c r="AM32" s="512"/>
      <x:c r="AN32" s="512"/>
      <x:c r="AO32" s="514"/>
    </x:row>
    <x:row r="33" ht="19" customHeight="1">
      <x:c r="B33" s="509">
        <x:v>32</x:v>
      </x:c>
      <x:c r="C33" s="512">
        <x:v>245</x:v>
      </x:c>
      <x:c r="D33" s="512">
        <x:v>91</x:v>
      </x:c>
      <x:c r="E33" s="513">
        <x:v>92</x:v>
      </x:c>
      <x:c r="F33" s="513">
        <x:v>119</x:v>
      </x:c>
      <x:c r="G33" s="512">
        <x:v>52</x:v>
      </x:c>
      <x:c r="H33" s="512">
        <x:v>18</x:v>
      </x:c>
      <x:c r="I33" s="512">
        <x:v>21</x:v>
      </x:c>
      <x:c r="J33" s="512">
        <x:v>34</x:v>
      </x:c>
      <x:c r="K33" s="512">
        <x:v>52</x:v>
      </x:c>
      <x:c r="L33" s="512">
        <x:v>27</x:v>
      </x:c>
      <x:c r="M33" s="512">
        <x:v>23</x:v>
      </x:c>
      <x:c r="N33" s="512">
        <x:v>2</x:v>
      </x:c>
      <x:c r="O33" s="512">
        <x:v>29</x:v>
      </x:c>
      <x:c r="P33" s="512">
        <x:v>13</x:v>
      </x:c>
      <x:c r="Q33" s="517">
        <x:v>30</x:v>
      </x:c>
      <x:c r="R33" s="517">
        <x:v>9</x:v>
      </x:c>
      <x:c r="S33" s="517">
        <x:v>44</x:v>
      </x:c>
      <x:c r="T33" s="517">
        <x:v>110</x:v>
      </x:c>
      <x:c r="U33" s="517">
        <x:v>145</x:v>
      </x:c>
      <x:c r="V33" s="512">
        <x:v>37</x:v>
      </x:c>
      <x:c r="W33" s="512">
        <x:v>70</x:v>
      </x:c>
      <x:c r="X33" s="512">
        <x:v>31</x:v>
      </x:c>
      <x:c r="Y33" s="512">
        <x:v>11</x:v>
      </x:c>
      <x:c r="Z33" s="512"/>
      <x:c r="AA33" s="512"/>
      <x:c r="AB33" s="512"/>
      <x:c r="AC33" s="512"/>
      <x:c r="AD33" s="512"/>
      <x:c r="AE33" s="512"/>
      <x:c r="AF33" s="512"/>
      <x:c r="AG33" s="512"/>
      <x:c r="AH33" s="512"/>
      <x:c r="AI33" s="512"/>
      <x:c r="AJ33" s="512"/>
      <x:c r="AK33" s="512"/>
      <x:c r="AL33" s="512"/>
      <x:c r="AM33" s="512"/>
      <x:c r="AN33" s="512"/>
      <x:c r="AO33" s="514"/>
    </x:row>
    <x:row r="34" ht="19" customHeight="1">
      <x:c r="B34" s="509">
        <x:v>33</x:v>
      </x:c>
      <x:c r="C34" s="512">
        <x:v>8</x:v>
      </x:c>
      <x:c r="D34" s="512">
        <x:v>3</x:v>
      </x:c>
      <x:c r="E34" s="513">
        <x:v>79</x:v>
      </x:c>
      <x:c r="F34" s="513">
        <x:v>77</x:v>
      </x:c>
      <x:c r="G34" s="512">
        <x:v>44</x:v>
      </x:c>
      <x:c r="H34" s="512">
        <x:v>33</x:v>
      </x:c>
      <x:c r="I34" s="512">
        <x:v>11</x:v>
      </x:c>
      <x:c r="J34" s="512">
        <x:v>0</x:v>
      </x:c>
      <x:c r="K34" s="512">
        <x:v>13</x:v>
      </x:c>
      <x:c r="L34" s="512">
        <x:v>0</x:v>
      </x:c>
      <x:c r="M34" s="512">
        <x:v>6</x:v>
      </x:c>
      <x:c r="N34" s="512">
        <x:v>136</x:v>
      </x:c>
      <x:c r="O34" s="512">
        <x:v>48</x:v>
      </x:c>
      <x:c r="P34" s="512">
        <x:v>40</x:v>
      </x:c>
      <x:c r="Q34" s="517">
        <x:v>4</x:v>
      </x:c>
      <x:c r="R34" s="517">
        <x:v>27</x:v>
      </x:c>
      <x:c r="S34" s="517">
        <x:v>51</x:v>
      </x:c>
      <x:c r="T34" s="517">
        <x:v>115</x:v>
      </x:c>
      <x:c r="U34" s="517">
        <x:v>114</x:v>
      </x:c>
      <x:c r="V34" s="512">
        <x:v>212</x:v>
      </x:c>
      <x:c r="W34" s="512">
        <x:v>182</x:v>
      </x:c>
      <x:c r="X34" s="512">
        <x:v>128</x:v>
      </x:c>
      <x:c r="Y34" s="512">
        <x:v>54</x:v>
      </x:c>
      <x:c r="Z34" s="512"/>
      <x:c r="AA34" s="512"/>
      <x:c r="AB34" s="512"/>
      <x:c r="AC34" s="512"/>
      <x:c r="AD34" s="512"/>
      <x:c r="AE34" s="512"/>
      <x:c r="AF34" s="512"/>
      <x:c r="AG34" s="512"/>
      <x:c r="AH34" s="512"/>
      <x:c r="AI34" s="512"/>
      <x:c r="AJ34" s="512"/>
      <x:c r="AK34" s="512"/>
      <x:c r="AL34" s="512"/>
      <x:c r="AM34" s="512"/>
      <x:c r="AN34" s="512"/>
      <x:c r="AO34" s="514"/>
    </x:row>
    <x:row r="35" ht="19" customHeight="1">
      <x:c r="B35" s="509">
        <x:v>34</x:v>
      </x:c>
      <x:c r="C35" s="512">
        <x:v>7</x:v>
      </x:c>
      <x:c r="D35" s="512">
        <x:v>4</x:v>
      </x:c>
      <x:c r="E35" s="513">
        <x:v>0</x:v>
      </x:c>
      <x:c r="F35" s="513">
        <x:v>1</x:v>
      </x:c>
      <x:c r="G35" s="512">
        <x:v>12</x:v>
      </x:c>
      <x:c r="H35" s="512">
        <x:v>90</x:v>
      </x:c>
      <x:c r="I35" s="512">
        <x:v>48</x:v>
      </x:c>
      <x:c r="J35" s="512">
        <x:v>106</x:v>
      </x:c>
      <x:c r="K35" s="512">
        <x:v>53</x:v>
      </x:c>
      <x:c r="L35" s="512">
        <x:v>6</x:v>
      </x:c>
      <x:c r="M35" s="512">
        <x:v>25</x:v>
      </x:c>
      <x:c r="N35" s="512">
        <x:v>44</x:v>
      </x:c>
      <x:c r="O35" s="512">
        <x:v>276</x:v>
      </x:c>
      <x:c r="P35" s="512">
        <x:v>60</x:v>
      </x:c>
      <x:c r="Q35" s="517">
        <x:v>5</x:v>
      </x:c>
      <x:c r="R35" s="517">
        <x:v>9</x:v>
      </x:c>
      <x:c r="S35" s="517">
        <x:v>163</x:v>
      </x:c>
      <x:c r="T35" s="517">
        <x:v>211</x:v>
      </x:c>
      <x:c r="U35" s="517">
        <x:v>177</x:v>
      </x:c>
      <x:c r="V35" s="512">
        <x:v>51</x:v>
      </x:c>
      <x:c r="W35" s="512">
        <x:v>169</x:v>
      </x:c>
      <x:c r="X35" s="512">
        <x:v>84</x:v>
      </x:c>
      <x:c r="Y35" s="512">
        <x:v>31</x:v>
      </x:c>
      <x:c r="Z35" s="512"/>
      <x:c r="AA35" s="512"/>
      <x:c r="AB35" s="512"/>
      <x:c r="AC35" s="512"/>
      <x:c r="AD35" s="512"/>
      <x:c r="AE35" s="512"/>
      <x:c r="AF35" s="512"/>
      <x:c r="AG35" s="512"/>
      <x:c r="AH35" s="512"/>
      <x:c r="AI35" s="512"/>
      <x:c r="AJ35" s="512"/>
      <x:c r="AK35" s="512"/>
      <x:c r="AL35" s="512"/>
      <x:c r="AM35" s="512"/>
      <x:c r="AN35" s="512"/>
      <x:c r="AO35" s="514"/>
    </x:row>
    <x:row r="36" ht="19" customHeight="1">
      <x:c r="B36" s="509">
        <x:v>35</x:v>
      </x:c>
      <x:c r="C36" s="512">
        <x:v>266</x:v>
      </x:c>
      <x:c r="D36" s="512">
        <x:v>20</x:v>
      </x:c>
      <x:c r="E36" s="513">
        <x:v>14</x:v>
      </x:c>
      <x:c r="F36" s="513">
        <x:v>1</x:v>
      </x:c>
      <x:c r="G36" s="512">
        <x:v>5</x:v>
      </x:c>
      <x:c r="H36" s="512">
        <x:v>0</x:v>
      </x:c>
      <x:c r="I36" s="512">
        <x:v>11</x:v>
      </x:c>
      <x:c r="J36" s="512">
        <x:v>53</x:v>
      </x:c>
      <x:c r="K36" s="512">
        <x:v>73</x:v>
      </x:c>
      <x:c r="L36" s="512">
        <x:v>70</x:v>
      </x:c>
      <x:c r="M36" s="512">
        <x:v>17</x:v>
      </x:c>
      <x:c r="N36" s="512">
        <x:v>33</x:v>
      </x:c>
      <x:c r="O36" s="512">
        <x:v>46</x:v>
      </x:c>
      <x:c r="P36" s="512">
        <x:v>87</x:v>
      </x:c>
      <x:c r="Q36" s="517">
        <x:v>66</x:v>
      </x:c>
      <x:c r="R36" s="517">
        <x:v>70</x:v>
      </x:c>
      <x:c r="S36" s="517">
        <x:v>105</x:v>
      </x:c>
      <x:c r="T36" s="517">
        <x:v>225</x:v>
      </x:c>
      <x:c r="U36" s="517">
        <x:v>118</x:v>
      </x:c>
      <x:c r="V36" s="512">
        <x:v>116</x:v>
      </x:c>
      <x:c r="W36" s="512">
        <x:v>150</x:v>
      </x:c>
      <x:c r="X36" s="512">
        <x:v>105</x:v>
      </x:c>
      <x:c r="Y36" s="512">
        <x:v>23</x:v>
      </x:c>
      <x:c r="Z36" s="512"/>
      <x:c r="AA36" s="512"/>
      <x:c r="AB36" s="512"/>
      <x:c r="AC36" s="512"/>
      <x:c r="AD36" s="512"/>
      <x:c r="AE36" s="512"/>
      <x:c r="AF36" s="512"/>
      <x:c r="AG36" s="512"/>
      <x:c r="AH36" s="512"/>
      <x:c r="AI36" s="512"/>
      <x:c r="AJ36" s="512"/>
      <x:c r="AK36" s="512"/>
      <x:c r="AL36" s="512"/>
      <x:c r="AM36" s="512"/>
      <x:c r="AN36" s="512"/>
      <x:c r="AO36" s="514"/>
    </x:row>
    <x:row r="37" ht="19" customHeight="1">
      <x:c r="B37" s="509">
        <x:v>36</x:v>
      </x:c>
      <x:c r="C37" s="512">
        <x:v>85</x:v>
      </x:c>
      <x:c r="D37" s="512">
        <x:v>35</x:v>
      </x:c>
      <x:c r="E37" s="513">
        <x:v>124</x:v>
      </x:c>
      <x:c r="F37" s="513">
        <x:v>65</x:v>
      </x:c>
      <x:c r="G37" s="512">
        <x:v>77</x:v>
      </x:c>
      <x:c r="H37" s="512">
        <x:v>87</x:v>
      </x:c>
      <x:c r="I37" s="512">
        <x:v>36</x:v>
      </x:c>
      <x:c r="J37" s="512">
        <x:v>24</x:v>
      </x:c>
      <x:c r="K37" s="512">
        <x:v>49</x:v>
      </x:c>
      <x:c r="L37" s="512">
        <x:v>57</x:v>
      </x:c>
      <x:c r="M37" s="512">
        <x:v>99</x:v>
      </x:c>
      <x:c r="N37" s="512">
        <x:v>247</x:v>
      </x:c>
      <x:c r="O37" s="512">
        <x:v>297</x:v>
      </x:c>
      <x:c r="P37" s="512">
        <x:v>299</x:v>
      </x:c>
      <x:c r="Q37" s="517">
        <x:v>160</x:v>
      </x:c>
      <x:c r="R37" s="517">
        <x:v>247</x:v>
      </x:c>
      <x:c r="S37" s="517">
        <x:v>281</x:v>
      </x:c>
      <x:c r="T37" s="517">
        <x:v>61</x:v>
      </x:c>
      <x:c r="U37" s="517">
        <x:v>161</x:v>
      </x:c>
      <x:c r="V37" s="512">
        <x:v>115</x:v>
      </x:c>
      <x:c r="W37" s="512">
        <x:v>57</x:v>
      </x:c>
      <x:c r="X37" s="512">
        <x:v>14</x:v>
      </x:c>
      <x:c r="Y37" s="512">
        <x:v>0</x:v>
      </x:c>
      <x:c r="Z37" s="512"/>
      <x:c r="AA37" s="512"/>
      <x:c r="AB37" s="512"/>
      <x:c r="AC37" s="512"/>
      <x:c r="AD37" s="512"/>
      <x:c r="AE37" s="512"/>
      <x:c r="AF37" s="512"/>
      <x:c r="AG37" s="512"/>
      <x:c r="AH37" s="512"/>
      <x:c r="AI37" s="512"/>
      <x:c r="AJ37" s="512"/>
      <x:c r="AK37" s="512"/>
      <x:c r="AL37" s="512"/>
      <x:c r="AM37" s="512"/>
      <x:c r="AN37" s="512"/>
      <x:c r="AO37" s="514"/>
    </x:row>
    <x:row r="38" ht="19" customHeight="1">
      <x:c r="B38" s="509">
        <x:v>37</x:v>
      </x:c>
      <x:c r="C38" s="512">
        <x:v>22</x:v>
      </x:c>
      <x:c r="D38" s="512">
        <x:v>75</x:v>
      </x:c>
      <x:c r="E38" s="513">
        <x:v>21</x:v>
      </x:c>
      <x:c r="F38" s="513">
        <x:v>16</x:v>
      </x:c>
      <x:c r="G38" s="512">
        <x:v>25</x:v>
      </x:c>
      <x:c r="H38" s="512">
        <x:v>12</x:v>
      </x:c>
      <x:c r="I38" s="512">
        <x:v>26</x:v>
      </x:c>
      <x:c r="J38" s="512">
        <x:v>14</x:v>
      </x:c>
      <x:c r="K38" s="512">
        <x:v>56</x:v>
      </x:c>
      <x:c r="L38" s="512">
        <x:v>26</x:v>
      </x:c>
      <x:c r="M38" s="512">
        <x:v>29</x:v>
      </x:c>
      <x:c r="N38" s="512">
        <x:v>77</x:v>
      </x:c>
      <x:c r="O38" s="512">
        <x:v>40</x:v>
      </x:c>
      <x:c r="P38" s="540">
        <x:v>50</x:v>
      </x:c>
      <x:c r="Q38" s="517">
        <x:v>20</x:v>
      </x:c>
      <x:c r="R38" s="517">
        <x:v>37</x:v>
      </x:c>
      <x:c r="S38" s="517">
        <x:v>18</x:v>
      </x:c>
      <x:c r="T38" s="517">
        <x:v>70</x:v>
      </x:c>
      <x:c r="U38" s="517">
        <x:v>19</x:v>
      </x:c>
      <x:c r="V38" s="512">
        <x:v>38</x:v>
      </x:c>
      <x:c r="W38" s="512">
        <x:v>1</x:v>
      </x:c>
      <x:c r="X38" s="512">
        <x:v>9</x:v>
      </x:c>
      <x:c r="Y38" s="512">
        <x:v>0</x:v>
      </x:c>
      <x:c r="Z38" s="512"/>
      <x:c r="AA38" s="512"/>
      <x:c r="AB38" s="512"/>
      <x:c r="AC38" s="512"/>
      <x:c r="AD38" s="512"/>
      <x:c r="AE38" s="512"/>
      <x:c r="AF38" s="512"/>
      <x:c r="AG38" s="512"/>
      <x:c r="AH38" s="512"/>
      <x:c r="AI38" s="512"/>
      <x:c r="AJ38" s="512"/>
      <x:c r="AK38" s="512"/>
      <x:c r="AL38" s="512"/>
      <x:c r="AM38" s="512"/>
      <x:c r="AN38" s="512"/>
      <x:c r="AO38" s="514"/>
    </x:row>
    <x:row r="39" ht="19" customHeight="1">
      <x:c r="B39" s="509">
        <x:v>38</x:v>
      </x:c>
      <x:c r="C39" s="512">
        <x:v>71</x:v>
      </x:c>
      <x:c r="D39" s="512">
        <x:v>33</x:v>
      </x:c>
      <x:c r="E39" s="513">
        <x:v>33</x:v>
      </x:c>
      <x:c r="F39" s="513">
        <x:v>24</x:v>
      </x:c>
      <x:c r="G39" s="512">
        <x:v>17</x:v>
      </x:c>
      <x:c r="H39" s="512">
        <x:v>37</x:v>
      </x:c>
      <x:c r="I39" s="512">
        <x:v>24</x:v>
      </x:c>
      <x:c r="J39" s="512">
        <x:v>32</x:v>
      </x:c>
      <x:c r="K39" s="512">
        <x:v>7</x:v>
      </x:c>
      <x:c r="L39" s="512">
        <x:v>31</x:v>
      </x:c>
      <x:c r="M39" s="512">
        <x:v>8</x:v>
      </x:c>
      <x:c r="N39" s="512">
        <x:v>28</x:v>
      </x:c>
      <x:c r="O39" s="512">
        <x:v>35</x:v>
      </x:c>
      <x:c r="P39" s="512">
        <x:v>9</x:v>
      </x:c>
      <x:c r="Q39" s="517">
        <x:v>10</x:v>
      </x:c>
      <x:c r="R39" s="517">
        <x:v>6</x:v>
      </x:c>
      <x:c r="S39" s="517">
        <x:v>14</x:v>
      </x:c>
      <x:c r="T39" s="517">
        <x:v>47</x:v>
      </x:c>
      <x:c r="U39" s="518">
        <x:v>42</x:v>
      </x:c>
      <x:c r="V39" s="512">
        <x:v>22</x:v>
      </x:c>
      <x:c r="W39" s="512">
        <x:v>44</x:v>
      </x:c>
      <x:c r="X39" s="512">
        <x:v>14</x:v>
      </x:c>
      <x:c r="Y39" s="512">
        <x:v>4</x:v>
      </x:c>
      <x:c r="Z39" s="512"/>
      <x:c r="AA39" s="512"/>
      <x:c r="AB39" s="512"/>
      <x:c r="AC39" s="512"/>
      <x:c r="AD39" s="512"/>
      <x:c r="AE39" s="512"/>
      <x:c r="AF39" s="512"/>
      <x:c r="AG39" s="512"/>
      <x:c r="AH39" s="512"/>
      <x:c r="AI39" s="512"/>
      <x:c r="AJ39" s="512"/>
      <x:c r="AK39" s="512"/>
      <x:c r="AL39" s="512"/>
      <x:c r="AM39" s="512"/>
      <x:c r="AN39" s="512"/>
      <x:c r="AO39" s="514"/>
    </x:row>
    <x:row r="40" ht="19" customHeight="1">
      <x:c r="B40" s="509">
        <x:v>39</x:v>
      </x:c>
      <x:c r="C40" s="512">
        <x:v>104</x:v>
      </x:c>
      <x:c r="D40" s="512">
        <x:v>64</x:v>
      </x:c>
      <x:c r="E40" s="513">
        <x:v>327</x:v>
      </x:c>
      <x:c r="F40" s="513">
        <x:v>187</x:v>
      </x:c>
      <x:c r="G40" s="512">
        <x:v>280</x:v>
      </x:c>
      <x:c r="H40" s="512">
        <x:v>199</x:v>
      </x:c>
      <x:c r="I40" s="512">
        <x:v>91</x:v>
      </x:c>
      <x:c r="J40" s="512">
        <x:v>153</x:v>
      </x:c>
      <x:c r="K40" s="512">
        <x:v>43</x:v>
      </x:c>
      <x:c r="L40" s="512">
        <x:v>5</x:v>
      </x:c>
      <x:c r="M40" s="512">
        <x:v>0</x:v>
      </x:c>
      <x:c r="N40" s="512">
        <x:v>22</x:v>
      </x:c>
      <x:c r="O40" s="512">
        <x:v>230</x:v>
      </x:c>
      <x:c r="P40" s="512">
        <x:v>52</x:v>
      </x:c>
      <x:c r="Q40" s="517">
        <x:v>41</x:v>
      </x:c>
      <x:c r="R40" s="517">
        <x:v>141</x:v>
      </x:c>
      <x:c r="S40" s="517">
        <x:v>200</x:v>
      </x:c>
      <x:c r="T40" s="517">
        <x:v>177</x:v>
      </x:c>
      <x:c r="U40" s="517">
        <x:v>290</x:v>
      </x:c>
      <x:c r="V40" s="512">
        <x:v>254</x:v>
      </x:c>
      <x:c r="W40" s="512">
        <x:v>252</x:v>
      </x:c>
      <x:c r="X40" s="512">
        <x:v>18</x:v>
      </x:c>
      <x:c r="Y40" s="512">
        <x:v>5</x:v>
      </x:c>
      <x:c r="Z40" s="512"/>
      <x:c r="AA40" s="512"/>
      <x:c r="AB40" s="512"/>
      <x:c r="AC40" s="512"/>
      <x:c r="AD40" s="512"/>
      <x:c r="AE40" s="512"/>
      <x:c r="AF40" s="512"/>
      <x:c r="AG40" s="512"/>
      <x:c r="AH40" s="512"/>
      <x:c r="AI40" s="512"/>
      <x:c r="AJ40" s="512"/>
      <x:c r="AK40" s="512"/>
      <x:c r="AL40" s="512"/>
      <x:c r="AM40" s="512"/>
      <x:c r="AN40" s="512"/>
      <x:c r="AO40" s="514"/>
    </x:row>
    <x:row r="41" ht="19" customHeight="1">
      <x:c r="B41" s="509">
        <x:v>40</x:v>
      </x:c>
      <x:c r="C41" s="512">
        <x:v>271</x:v>
      </x:c>
      <x:c r="D41" s="512">
        <x:v>68</x:v>
      </x:c>
      <x:c r="E41" s="513">
        <x:v>82</x:v>
      </x:c>
      <x:c r="F41" s="513">
        <x:v>83</x:v>
      </x:c>
      <x:c r="G41" s="512">
        <x:v>252</x:v>
      </x:c>
      <x:c r="H41" s="512">
        <x:v>96</x:v>
      </x:c>
      <x:c r="I41" s="512">
        <x:v>53</x:v>
      </x:c>
      <x:c r="J41" s="512">
        <x:v>29</x:v>
      </x:c>
      <x:c r="K41" s="512">
        <x:v>62</x:v>
      </x:c>
      <x:c r="L41" s="512">
        <x:v>126</x:v>
      </x:c>
      <x:c r="M41" s="512">
        <x:v>186</x:v>
      </x:c>
      <x:c r="N41" s="512">
        <x:v>237</x:v>
      </x:c>
      <x:c r="O41" s="512">
        <x:v>127</x:v>
      </x:c>
      <x:c r="P41" s="512">
        <x:v>144</x:v>
      </x:c>
      <x:c r="Q41" s="517">
        <x:v>85</x:v>
      </x:c>
      <x:c r="R41" s="517">
        <x:v>25</x:v>
      </x:c>
      <x:c r="S41" s="517">
        <x:v>71</x:v>
      </x:c>
      <x:c r="T41" s="517">
        <x:v>90</x:v>
      </x:c>
      <x:c r="U41" s="518">
        <x:v>261</x:v>
      </x:c>
      <x:c r="V41" s="512">
        <x:v>118</x:v>
      </x:c>
      <x:c r="W41" s="512">
        <x:v>130</x:v>
      </x:c>
      <x:c r="X41" s="512">
        <x:v>38</x:v>
      </x:c>
      <x:c r="Y41" s="512">
        <x:v>13</x:v>
      </x:c>
      <x:c r="Z41" s="512"/>
      <x:c r="AA41" s="512"/>
      <x:c r="AB41" s="512"/>
      <x:c r="AC41" s="512"/>
      <x:c r="AD41" s="512"/>
      <x:c r="AE41" s="512"/>
      <x:c r="AF41" s="512"/>
      <x:c r="AG41" s="512"/>
      <x:c r="AH41" s="512"/>
      <x:c r="AI41" s="512"/>
      <x:c r="AJ41" s="512"/>
      <x:c r="AK41" s="512"/>
      <x:c r="AL41" s="512"/>
      <x:c r="AM41" s="512"/>
      <x:c r="AN41" s="512"/>
      <x:c r="AO41" s="514"/>
    </x:row>
    <x:row r="42" ht="19" customHeight="1">
      <x:c r="B42" s="509">
        <x:v>41</x:v>
      </x:c>
      <x:c r="C42" s="512">
        <x:v>121</x:v>
      </x:c>
      <x:c r="D42" s="512">
        <x:v>117</x:v>
      </x:c>
      <x:c r="E42" s="513">
        <x:v>83</x:v>
      </x:c>
      <x:c r="F42" s="513">
        <x:v>261</x:v>
      </x:c>
      <x:c r="G42" s="512">
        <x:v>314</x:v>
      </x:c>
      <x:c r="H42" s="512">
        <x:v>63</x:v>
      </x:c>
      <x:c r="I42" s="512">
        <x:v>89</x:v>
      </x:c>
      <x:c r="J42" s="512">
        <x:v>159</x:v>
      </x:c>
      <x:c r="K42" s="512">
        <x:v>71</x:v>
      </x:c>
      <x:c r="L42" s="512">
        <x:v>62</x:v>
      </x:c>
      <x:c r="M42" s="512">
        <x:v>51</x:v>
      </x:c>
      <x:c r="N42" s="512">
        <x:v>117</x:v>
      </x:c>
      <x:c r="O42" s="512">
        <x:v>221</x:v>
      </x:c>
      <x:c r="P42" s="512">
        <x:v>100</x:v>
      </x:c>
      <x:c r="Q42" s="517">
        <x:v>283</x:v>
      </x:c>
      <x:c r="R42" s="517">
        <x:v>168</x:v>
      </x:c>
      <x:c r="S42" s="517">
        <x:v>159</x:v>
      </x:c>
      <x:c r="T42" s="517">
        <x:v>241</x:v>
      </x:c>
      <x:c r="U42" s="518">
        <x:v>68</x:v>
      </x:c>
      <x:c r="V42" s="512">
        <x:v>73</x:v>
      </x:c>
      <x:c r="W42" s="512">
        <x:v>89</x:v>
      </x:c>
      <x:c r="X42" s="512">
        <x:v>121</x:v>
      </x:c>
      <x:c r="Y42" s="512">
        <x:v>114</x:v>
      </x:c>
      <x:c r="Z42" s="512"/>
      <x:c r="AA42" s="512"/>
      <x:c r="AB42" s="512"/>
      <x:c r="AC42" s="512"/>
      <x:c r="AD42" s="512"/>
      <x:c r="AE42" s="512"/>
      <x:c r="AF42" s="512"/>
      <x:c r="AG42" s="512"/>
      <x:c r="AH42" s="512"/>
      <x:c r="AI42" s="512"/>
      <x:c r="AJ42" s="512"/>
      <x:c r="AK42" s="512"/>
      <x:c r="AL42" s="512"/>
      <x:c r="AM42" s="512"/>
      <x:c r="AN42" s="512"/>
      <x:c r="AO42" s="514"/>
    </x:row>
    <x:row r="43" ht="19" customHeight="1">
      <x:c r="B43" s="509">
        <x:v>42</x:v>
      </x:c>
      <x:c r="C43" s="512">
        <x:v>120</x:v>
      </x:c>
      <x:c r="D43" s="512">
        <x:v>124</x:v>
      </x:c>
      <x:c r="E43" s="513">
        <x:v>95</x:v>
      </x:c>
      <x:c r="F43" s="513">
        <x:v>179</x:v>
      </x:c>
      <x:c r="G43" s="512">
        <x:v>102</x:v>
      </x:c>
      <x:c r="H43" s="512">
        <x:v>71</x:v>
      </x:c>
      <x:c r="I43" s="512">
        <x:v>68</x:v>
      </x:c>
      <x:c r="J43" s="512">
        <x:v>60</x:v>
      </x:c>
      <x:c r="K43" s="512">
        <x:v>19</x:v>
      </x:c>
      <x:c r="L43" s="512">
        <x:v>40</x:v>
      </x:c>
      <x:c r="M43" s="512">
        <x:v>68</x:v>
      </x:c>
      <x:c r="N43" s="512">
        <x:v>192</x:v>
      </x:c>
      <x:c r="O43" s="512">
        <x:v>365</x:v>
      </x:c>
      <x:c r="P43" s="512">
        <x:v>168</x:v>
      </x:c>
      <x:c r="Q43" s="517">
        <x:v>184</x:v>
      </x:c>
      <x:c r="R43" s="517">
        <x:v>289</x:v>
      </x:c>
      <x:c r="S43" s="517">
        <x:v>129</x:v>
      </x:c>
      <x:c r="T43" s="517">
        <x:v>45</x:v>
      </x:c>
      <x:c r="U43" s="517">
        <x:v>0</x:v>
      </x:c>
      <x:c r="V43" s="512">
        <x:v>69</x:v>
      </x:c>
      <x:c r="W43" s="512">
        <x:v>28</x:v>
      </x:c>
      <x:c r="X43" s="512">
        <x:v>27</x:v>
      </x:c>
      <x:c r="Y43" s="512">
        <x:v>72</x:v>
      </x:c>
      <x:c r="Z43" s="512"/>
      <x:c r="AA43" s="512"/>
      <x:c r="AB43" s="512"/>
      <x:c r="AC43" s="512"/>
      <x:c r="AD43" s="512"/>
      <x:c r="AE43" s="512"/>
      <x:c r="AF43" s="512"/>
      <x:c r="AG43" s="512"/>
      <x:c r="AH43" s="512"/>
      <x:c r="AI43" s="512"/>
      <x:c r="AJ43" s="512"/>
      <x:c r="AK43" s="512"/>
      <x:c r="AL43" s="512"/>
      <x:c r="AM43" s="512"/>
      <x:c r="AN43" s="512"/>
      <x:c r="AO43" s="514"/>
    </x:row>
    <x:row r="44" ht="19" customHeight="1">
      <x:c r="B44" s="509">
        <x:v>43</x:v>
      </x:c>
      <x:c r="C44" s="512">
        <x:v>74</x:v>
      </x:c>
      <x:c r="D44" s="512">
        <x:v>67</x:v>
      </x:c>
      <x:c r="E44" s="513">
        <x:v>103</x:v>
      </x:c>
      <x:c r="F44" s="513">
        <x:v>38</x:v>
      </x:c>
      <x:c r="G44" s="512">
        <x:v>77</x:v>
      </x:c>
      <x:c r="H44" s="512">
        <x:v>90</x:v>
      </x:c>
      <x:c r="I44" s="512">
        <x:v>32</x:v>
      </x:c>
      <x:c r="J44" s="512">
        <x:v>22</x:v>
      </x:c>
      <x:c r="K44" s="512">
        <x:v>10</x:v>
      </x:c>
      <x:c r="L44" s="512">
        <x:v>14</x:v>
      </x:c>
      <x:c r="M44" s="512">
        <x:v>38</x:v>
      </x:c>
      <x:c r="N44" s="512">
        <x:v>39</x:v>
      </x:c>
      <x:c r="O44" s="512">
        <x:v>5</x:v>
      </x:c>
      <x:c r="P44" s="512">
        <x:v>38</x:v>
      </x:c>
      <x:c r="Q44" s="517">
        <x:v>4</x:v>
      </x:c>
      <x:c r="R44" s="517">
        <x:v>4</x:v>
      </x:c>
      <x:c r="S44" s="517">
        <x:v>29</x:v>
      </x:c>
      <x:c r="T44" s="517">
        <x:v>43</x:v>
      </x:c>
      <x:c r="U44" s="517">
        <x:v>54</x:v>
      </x:c>
      <x:c r="V44" s="512">
        <x:v>147</x:v>
      </x:c>
      <x:c r="W44" s="512">
        <x:v>169</x:v>
      </x:c>
      <x:c r="X44" s="512">
        <x:v>43</x:v>
      </x:c>
      <x:c r="Y44" s="512">
        <x:v>33</x:v>
      </x:c>
      <x:c r="Z44" s="512"/>
      <x:c r="AA44" s="512"/>
      <x:c r="AB44" s="512"/>
      <x:c r="AC44" s="512"/>
      <x:c r="AD44" s="512"/>
      <x:c r="AE44" s="512"/>
      <x:c r="AF44" s="512"/>
      <x:c r="AG44" s="512"/>
      <x:c r="AH44" s="512"/>
      <x:c r="AI44" s="512"/>
      <x:c r="AJ44" s="512"/>
      <x:c r="AK44" s="512"/>
      <x:c r="AL44" s="512"/>
      <x:c r="AM44" s="512"/>
      <x:c r="AN44" s="512"/>
      <x:c r="AO44" s="514"/>
    </x:row>
    <x:row r="45" ht="19" customHeight="1">
      <x:c r="B45" s="509">
        <x:v>44</x:v>
      </x:c>
      <x:c r="C45" s="512">
        <x:v>193</x:v>
      </x:c>
      <x:c r="D45" s="512">
        <x:v>90</x:v>
      </x:c>
      <x:c r="E45" s="513">
        <x:v>87</x:v>
      </x:c>
      <x:c r="F45" s="513">
        <x:v>179</x:v>
      </x:c>
      <x:c r="G45" s="512">
        <x:v>87</x:v>
      </x:c>
      <x:c r="H45" s="512">
        <x:v>160</x:v>
      </x:c>
      <x:c r="I45" s="512">
        <x:v>31</x:v>
      </x:c>
      <x:c r="J45" s="512">
        <x:v>68</x:v>
      </x:c>
      <x:c r="K45" s="512">
        <x:v>133</x:v>
      </x:c>
      <x:c r="L45" s="512">
        <x:v>32</x:v>
      </x:c>
      <x:c r="M45" s="512">
        <x:v>6</x:v>
      </x:c>
      <x:c r="N45" s="512">
        <x:v>0</x:v>
      </x:c>
      <x:c r="O45" s="512">
        <x:v>8</x:v>
      </x:c>
      <x:c r="P45" s="512">
        <x:v>24</x:v>
      </x:c>
      <x:c r="Q45" s="517">
        <x:v>0</x:v>
      </x:c>
      <x:c r="R45" s="517">
        <x:v>0</x:v>
      </x:c>
      <x:c r="S45" s="517">
        <x:v>0</x:v>
      </x:c>
      <x:c r="T45" s="517">
        <x:v>0</x:v>
      </x:c>
      <x:c r="U45" s="517">
        <x:v>0</x:v>
      </x:c>
      <x:c r="V45" s="512">
        <x:v>0</x:v>
      </x:c>
      <x:c r="W45" s="512">
        <x:v>1</x:v>
      </x:c>
      <x:c r="X45" s="512">
        <x:v>0</x:v>
      </x:c>
      <x:c r="Y45" s="512">
        <x:v>0</x:v>
      </x:c>
      <x:c r="Z45" s="512"/>
      <x:c r="AA45" s="512"/>
      <x:c r="AB45" s="512"/>
      <x:c r="AC45" s="512"/>
      <x:c r="AD45" s="512"/>
      <x:c r="AE45" s="512"/>
      <x:c r="AF45" s="512"/>
      <x:c r="AG45" s="512"/>
      <x:c r="AH45" s="512"/>
      <x:c r="AI45" s="512"/>
      <x:c r="AJ45" s="512"/>
      <x:c r="AK45" s="512"/>
      <x:c r="AL45" s="512"/>
      <x:c r="AM45" s="512"/>
      <x:c r="AN45" s="512"/>
      <x:c r="AO45" s="514"/>
    </x:row>
    <x:row r="46" ht="19" customHeight="1">
      <x:c r="B46" s="509">
        <x:v>45</x:v>
      </x:c>
      <x:c r="C46" s="512">
        <x:v>58</x:v>
      </x:c>
      <x:c r="D46" s="512">
        <x:v>110</x:v>
      </x:c>
      <x:c r="E46" s="513">
        <x:v>102</x:v>
      </x:c>
      <x:c r="F46" s="513">
        <x:v>12</x:v>
      </x:c>
      <x:c r="G46" s="512">
        <x:v>24</x:v>
      </x:c>
      <x:c r="H46" s="512">
        <x:v>64</x:v>
      </x:c>
      <x:c r="I46" s="512">
        <x:v>7</x:v>
      </x:c>
      <x:c r="J46" s="512">
        <x:v>53</x:v>
      </x:c>
      <x:c r="K46" s="512">
        <x:v>35</x:v>
      </x:c>
      <x:c r="L46" s="512">
        <x:v>25</x:v>
      </x:c>
      <x:c r="M46" s="512">
        <x:v>58</x:v>
      </x:c>
      <x:c r="N46" s="512">
        <x:v>61</x:v>
      </x:c>
      <x:c r="O46" s="512">
        <x:v>71</x:v>
      </x:c>
      <x:c r="P46" s="512">
        <x:v>89</x:v>
      </x:c>
      <x:c r="Q46" s="517">
        <x:v>91</x:v>
      </x:c>
      <x:c r="R46" s="517">
        <x:v>36</x:v>
      </x:c>
      <x:c r="S46" s="517">
        <x:v>43</x:v>
      </x:c>
      <x:c r="T46" s="517">
        <x:v>91</x:v>
      </x:c>
      <x:c r="U46" s="517">
        <x:v>122</x:v>
      </x:c>
      <x:c r="V46" s="512">
        <x:v>74</x:v>
      </x:c>
      <x:c r="W46" s="512">
        <x:v>135</x:v>
      </x:c>
      <x:c r="X46" s="512">
        <x:v>76</x:v>
      </x:c>
      <x:c r="Y46" s="512">
        <x:v>4</x:v>
      </x:c>
      <x:c r="Z46" s="512"/>
      <x:c r="AA46" s="512"/>
      <x:c r="AB46" s="512"/>
      <x:c r="AC46" s="512"/>
      <x:c r="AD46" s="512"/>
      <x:c r="AE46" s="512"/>
      <x:c r="AF46" s="512"/>
      <x:c r="AG46" s="512"/>
      <x:c r="AH46" s="512"/>
      <x:c r="AI46" s="512"/>
      <x:c r="AJ46" s="512"/>
      <x:c r="AK46" s="512"/>
      <x:c r="AL46" s="512"/>
      <x:c r="AM46" s="512"/>
      <x:c r="AN46" s="512"/>
      <x:c r="AO46" s="514"/>
    </x:row>
    <x:row r="47" ht="19" customHeight="1">
      <x:c r="B47" s="509">
        <x:v>46</x:v>
      </x:c>
      <x:c r="C47" s="512">
        <x:v>20</x:v>
      </x:c>
      <x:c r="D47" s="512">
        <x:v>11</x:v>
      </x:c>
      <x:c r="E47" s="513">
        <x:v>30</x:v>
      </x:c>
      <x:c r="F47" s="513">
        <x:v>26</x:v>
      </x:c>
      <x:c r="G47" s="512">
        <x:v>63</x:v>
      </x:c>
      <x:c r="H47" s="512">
        <x:v>104</x:v>
      </x:c>
      <x:c r="I47" s="512">
        <x:v>18</x:v>
      </x:c>
      <x:c r="J47" s="512">
        <x:v>33</x:v>
      </x:c>
      <x:c r="K47" s="512">
        <x:v>62</x:v>
      </x:c>
      <x:c r="L47" s="512">
        <x:v>2</x:v>
      </x:c>
      <x:c r="M47" s="512">
        <x:v>79</x:v>
      </x:c>
      <x:c r="N47" s="512">
        <x:v>115</x:v>
      </x:c>
      <x:c r="O47" s="512">
        <x:v>182</x:v>
      </x:c>
      <x:c r="P47" s="512">
        <x:v>81</x:v>
      </x:c>
      <x:c r="Q47" s="512">
        <x:v>18</x:v>
      </x:c>
      <x:c r="R47" s="512">
        <x:v>26</x:v>
      </x:c>
      <x:c r="S47" s="512">
        <x:v>5</x:v>
      </x:c>
      <x:c r="T47" s="512">
        <x:v>0</x:v>
      </x:c>
      <x:c r="U47" s="512">
        <x:v>24</x:v>
      </x:c>
      <x:c r="V47" s="512">
        <x:v>5</x:v>
      </x:c>
      <x:c r="W47" s="512">
        <x:v>0</x:v>
      </x:c>
      <x:c r="X47" s="512">
        <x:v>10</x:v>
      </x:c>
      <x:c r="Y47" s="512">
        <x:v>3</x:v>
      </x:c>
      <x:c r="Z47" s="512"/>
      <x:c r="AA47" s="512"/>
      <x:c r="AB47" s="512"/>
      <x:c r="AC47" s="512"/>
      <x:c r="AD47" s="512"/>
      <x:c r="AE47" s="512"/>
      <x:c r="AF47" s="512"/>
      <x:c r="AG47" s="512"/>
      <x:c r="AH47" s="512"/>
      <x:c r="AI47" s="512"/>
      <x:c r="AJ47" s="512"/>
      <x:c r="AK47" s="512"/>
      <x:c r="AL47" s="512"/>
      <x:c r="AM47" s="512"/>
      <x:c r="AN47" s="512"/>
      <x:c r="AO47" s="514"/>
    </x:row>
    <x:row r="48" ht="19" customHeight="1">
      <x:c r="B48" s="509">
        <x:v>47</x:v>
      </x:c>
      <x:c r="C48" s="513">
        <x:v>0</x:v>
      </x:c>
      <x:c r="D48" s="513">
        <x:v>22</x:v>
      </x:c>
      <x:c r="E48" s="513">
        <x:v>55</x:v>
      </x:c>
      <x:c r="F48" s="513">
        <x:v>13</x:v>
      </x:c>
      <x:c r="G48" s="512">
        <x:v>15</x:v>
      </x:c>
      <x:c r="H48" s="512">
        <x:v>22</x:v>
      </x:c>
      <x:c r="I48" s="512">
        <x:v>63</x:v>
      </x:c>
      <x:c r="J48" s="512">
        <x:v>111</x:v>
      </x:c>
      <x:c r="K48" s="512">
        <x:v>96</x:v>
      </x:c>
      <x:c r="L48" s="512">
        <x:v>86</x:v>
      </x:c>
      <x:c r="M48" s="512">
        <x:v>110</x:v>
      </x:c>
      <x:c r="N48" s="512">
        <x:v>68</x:v>
      </x:c>
      <x:c r="O48" s="512">
        <x:v>94</x:v>
      </x:c>
      <x:c r="P48" s="512">
        <x:v>186</x:v>
      </x:c>
      <x:c r="Q48" s="512">
        <x:v>38</x:v>
      </x:c>
      <x:c r="R48" s="512">
        <x:v>34</x:v>
      </x:c>
      <x:c r="S48" s="512">
        <x:v>27</x:v>
      </x:c>
      <x:c r="T48" s="512">
        <x:v>44</x:v>
      </x:c>
      <x:c r="U48" s="512">
        <x:v>16</x:v>
      </x:c>
      <x:c r="V48" s="512">
        <x:v>29</x:v>
      </x:c>
      <x:c r="W48" s="512">
        <x:v>71</x:v>
      </x:c>
      <x:c r="X48" s="512">
        <x:v>27</x:v>
      </x:c>
      <x:c r="Y48" s="512">
        <x:v>18</x:v>
      </x:c>
      <x:c r="Z48" s="512"/>
      <x:c r="AA48" s="512"/>
      <x:c r="AB48" s="512"/>
      <x:c r="AC48" s="512"/>
      <x:c r="AD48" s="512"/>
      <x:c r="AE48" s="512"/>
      <x:c r="AF48" s="512"/>
      <x:c r="AG48" s="512"/>
      <x:c r="AH48" s="512"/>
      <x:c r="AI48" s="512"/>
      <x:c r="AJ48" s="512"/>
      <x:c r="AK48" s="512"/>
      <x:c r="AL48" s="512"/>
      <x:c r="AM48" s="512"/>
      <x:c r="AN48" s="512"/>
      <x:c r="AO48" s="514"/>
    </x:row>
    <x:row r="49" ht="19" customHeight="1">
      <x:c r="B49" s="509">
        <x:v>48</x:v>
      </x:c>
      <x:c r="C49" s="519"/>
      <x:c r="D49" s="519"/>
      <x:c r="E49" s="513">
        <x:v>21</x:v>
      </x:c>
      <x:c r="F49" s="513">
        <x:v>139</x:v>
      </x:c>
      <x:c r="G49" s="512">
        <x:v>176</x:v>
      </x:c>
      <x:c r="H49" s="512">
        <x:v>28</x:v>
      </x:c>
      <x:c r="I49" s="512">
        <x:v>6</x:v>
      </x:c>
      <x:c r="J49" s="512">
        <x:v>30</x:v>
      </x:c>
      <x:c r="K49" s="512">
        <x:v>147</x:v>
      </x:c>
      <x:c r="L49" s="512">
        <x:v>46</x:v>
      </x:c>
      <x:c r="M49" s="512">
        <x:v>70</x:v>
      </x:c>
      <x:c r="N49" s="512">
        <x:v>38</x:v>
      </x:c>
      <x:c r="O49" s="512">
        <x:v>27</x:v>
      </x:c>
      <x:c r="P49" s="512">
        <x:v>9</x:v>
      </x:c>
      <x:c r="Q49" s="512">
        <x:v>18</x:v>
      </x:c>
      <x:c r="R49" s="512">
        <x:v>1</x:v>
      </x:c>
      <x:c r="S49" s="512">
        <x:v>9</x:v>
      </x:c>
      <x:c r="T49" s="512">
        <x:v>13</x:v>
      </x:c>
      <x:c r="U49" s="512">
        <x:v>3</x:v>
      </x:c>
      <x:c r="V49" s="512">
        <x:v>22</x:v>
      </x:c>
      <x:c r="W49" s="512">
        <x:v>18</x:v>
      </x:c>
      <x:c r="X49" s="512">
        <x:v>2</x:v>
      </x:c>
      <x:c r="Y49" s="512">
        <x:v>15</x:v>
      </x:c>
      <x:c r="Z49" s="512"/>
      <x:c r="AA49" s="512"/>
      <x:c r="AB49" s="512"/>
      <x:c r="AC49" s="512"/>
      <x:c r="AD49" s="512"/>
      <x:c r="AE49" s="512"/>
      <x:c r="AF49" s="512"/>
      <x:c r="AG49" s="512"/>
      <x:c r="AH49" s="512"/>
      <x:c r="AI49" s="512"/>
      <x:c r="AJ49" s="512"/>
      <x:c r="AK49" s="512"/>
      <x:c r="AL49" s="512"/>
      <x:c r="AM49" s="512"/>
      <x:c r="AN49" s="512"/>
      <x:c r="AO49" s="514"/>
    </x:row>
    <x:row r="50" ht="19" customHeight="1">
      <x:c r="B50" s="509">
        <x:v>49</x:v>
      </x:c>
      <x:c r="C50" s="519"/>
      <x:c r="D50" s="519"/>
      <x:c r="E50" s="513">
        <x:v>1</x:v>
      </x:c>
      <x:c r="F50" s="513">
        <x:v>110</x:v>
      </x:c>
      <x:c r="G50" s="512">
        <x:v>261</x:v>
      </x:c>
      <x:c r="H50" s="512">
        <x:v>120</x:v>
      </x:c>
      <x:c r="I50" s="512">
        <x:v>207</x:v>
      </x:c>
      <x:c r="J50" s="512">
        <x:v>58</x:v>
      </x:c>
      <x:c r="K50" s="512">
        <x:v>88</x:v>
      </x:c>
      <x:c r="L50" s="512">
        <x:v>12</x:v>
      </x:c>
      <x:c r="M50" s="512">
        <x:v>40</x:v>
      </x:c>
      <x:c r="N50" s="512">
        <x:v>66</x:v>
      </x:c>
      <x:c r="O50" s="512">
        <x:v>91</x:v>
      </x:c>
      <x:c r="P50" s="512">
        <x:v>14</x:v>
      </x:c>
      <x:c r="Q50" s="512">
        <x:v>1</x:v>
      </x:c>
      <x:c r="R50" s="512">
        <x:v>158</x:v>
      </x:c>
      <x:c r="S50" s="512">
        <x:v>37</x:v>
      </x:c>
      <x:c r="T50" s="512">
        <x:v>42</x:v>
      </x:c>
      <x:c r="U50" s="512">
        <x:v>34</x:v>
      </x:c>
      <x:c r="V50" s="512">
        <x:v>21</x:v>
      </x:c>
      <x:c r="W50" s="512">
        <x:v>27</x:v>
      </x:c>
      <x:c r="X50" s="512">
        <x:v>20</x:v>
      </x:c>
      <x:c r="Y50" s="512">
        <x:v>6</x:v>
      </x:c>
      <x:c r="Z50" s="512"/>
      <x:c r="AA50" s="512"/>
      <x:c r="AB50" s="512"/>
      <x:c r="AC50" s="512"/>
      <x:c r="AD50" s="512"/>
      <x:c r="AE50" s="512"/>
      <x:c r="AF50" s="512"/>
      <x:c r="AG50" s="512"/>
      <x:c r="AH50" s="512"/>
      <x:c r="AI50" s="512"/>
      <x:c r="AJ50" s="512"/>
      <x:c r="AK50" s="512"/>
      <x:c r="AL50" s="512"/>
      <x:c r="AM50" s="512"/>
      <x:c r="AN50" s="512"/>
      <x:c r="AO50" s="514"/>
    </x:row>
    <x:row r="51" ht="19" customHeight="1">
      <x:c r="B51" s="509">
        <x:v>50</x:v>
      </x:c>
      <x:c r="C51" s="519"/>
      <x:c r="D51" s="519"/>
      <x:c r="E51" s="513">
        <x:v>0</x:v>
      </x:c>
      <x:c r="F51" s="541">
        <x:v>0</x:v>
      </x:c>
      <x:c r="G51" s="512">
        <x:v>42</x:v>
      </x:c>
      <x:c r="H51" s="512">
        <x:v>29</x:v>
      </x:c>
      <x:c r="I51" s="512">
        <x:v>34</x:v>
      </x:c>
      <x:c r="J51" s="512">
        <x:v>52</x:v>
      </x:c>
      <x:c r="K51" s="512">
        <x:v>73</x:v>
      </x:c>
      <x:c r="L51" s="512">
        <x:v>12</x:v>
      </x:c>
      <x:c r="M51" s="512">
        <x:v>8</x:v>
      </x:c>
      <x:c r="N51" s="512">
        <x:v>127</x:v>
      </x:c>
      <x:c r="O51" s="512">
        <x:v>155</x:v>
      </x:c>
      <x:c r="P51" s="512">
        <x:v>80</x:v>
      </x:c>
      <x:c r="Q51" s="512">
        <x:v>46</x:v>
      </x:c>
      <x:c r="R51" s="512">
        <x:v>26</x:v>
      </x:c>
      <x:c r="S51" s="512">
        <x:v>11</x:v>
      </x:c>
      <x:c r="T51" s="512">
        <x:v>199</x:v>
      </x:c>
      <x:c r="U51" s="512">
        <x:v>74</x:v>
      </x:c>
      <x:c r="V51" s="512">
        <x:v>75</x:v>
      </x:c>
      <x:c r="W51" s="512">
        <x:v>81</x:v>
      </x:c>
      <x:c r="X51" s="512">
        <x:v>87</x:v>
      </x:c>
      <x:c r="Y51" s="512">
        <x:v>15</x:v>
      </x:c>
      <x:c r="Z51" s="512"/>
      <x:c r="AA51" s="512"/>
      <x:c r="AB51" s="512"/>
      <x:c r="AC51" s="512"/>
      <x:c r="AD51" s="512"/>
      <x:c r="AE51" s="512"/>
      <x:c r="AF51" s="512"/>
      <x:c r="AG51" s="512"/>
      <x:c r="AH51" s="512"/>
      <x:c r="AI51" s="512"/>
      <x:c r="AJ51" s="512"/>
      <x:c r="AK51" s="512"/>
      <x:c r="AL51" s="512"/>
      <x:c r="AM51" s="512"/>
      <x:c r="AN51" s="512"/>
      <x:c r="AO51" s="514"/>
    </x:row>
    <x:row r="52" ht="19" customHeight="1">
      <x:c r="B52" s="509">
        <x:v>51</x:v>
      </x:c>
      <x:c r="C52" s="519"/>
      <x:c r="D52" s="519"/>
      <x:c r="E52" s="519"/>
      <x:c r="F52" s="519"/>
      <x:c r="G52" s="512">
        <x:v>23</x:v>
      </x:c>
      <x:c r="H52" s="512">
        <x:v>79</x:v>
      </x:c>
      <x:c r="I52" s="512">
        <x:v>100</x:v>
      </x:c>
      <x:c r="J52" s="512">
        <x:v>120</x:v>
      </x:c>
      <x:c r="K52" s="512">
        <x:v>67</x:v>
      </x:c>
      <x:c r="L52" s="512">
        <x:v>52</x:v>
      </x:c>
      <x:c r="M52" s="512">
        <x:v>2</x:v>
      </x:c>
      <x:c r="N52" s="512">
        <x:v>43</x:v>
      </x:c>
      <x:c r="O52" s="512">
        <x:v>122</x:v>
      </x:c>
      <x:c r="P52" s="512">
        <x:v>31</x:v>
      </x:c>
      <x:c r="Q52" s="512">
        <x:v>8</x:v>
      </x:c>
      <x:c r="R52" s="512">
        <x:v>19</x:v>
      </x:c>
      <x:c r="S52" s="512">
        <x:v>87</x:v>
      </x:c>
      <x:c r="T52" s="512">
        <x:v>72</x:v>
      </x:c>
      <x:c r="U52" s="512">
        <x:v>57</x:v>
      </x:c>
      <x:c r="V52" s="512">
        <x:v>19</x:v>
      </x:c>
      <x:c r="W52" s="512">
        <x:v>92</x:v>
      </x:c>
      <x:c r="X52" s="512">
        <x:v>19</x:v>
      </x:c>
      <x:c r="Y52" s="512">
        <x:v>10</x:v>
      </x:c>
      <x:c r="Z52" s="512"/>
      <x:c r="AA52" s="512"/>
      <x:c r="AB52" s="512"/>
      <x:c r="AC52" s="512"/>
      <x:c r="AD52" s="512"/>
      <x:c r="AE52" s="512"/>
      <x:c r="AF52" s="512"/>
      <x:c r="AG52" s="512"/>
      <x:c r="AH52" s="512"/>
      <x:c r="AI52" s="512"/>
      <x:c r="AJ52" s="512"/>
      <x:c r="AK52" s="512"/>
      <x:c r="AL52" s="512"/>
      <x:c r="AM52" s="512"/>
      <x:c r="AN52" s="512"/>
      <x:c r="AO52" s="514"/>
    </x:row>
    <x:row r="53" ht="19" customHeight="1">
      <x:c r="B53" s="509">
        <x:v>52</x:v>
      </x:c>
      <x:c r="C53" s="519"/>
      <x:c r="D53" s="519"/>
      <x:c r="E53" s="519"/>
      <x:c r="F53" s="519"/>
      <x:c r="G53" s="512">
        <x:v>0</x:v>
      </x:c>
      <x:c r="H53" s="512">
        <x:v>85</x:v>
      </x:c>
      <x:c r="I53" s="512">
        <x:v>3</x:v>
      </x:c>
      <x:c r="J53" s="512">
        <x:v>12</x:v>
      </x:c>
      <x:c r="K53" s="512">
        <x:v>20</x:v>
      </x:c>
      <x:c r="L53" s="512">
        <x:v>13</x:v>
      </x:c>
      <x:c r="M53" s="512">
        <x:v>5</x:v>
      </x:c>
      <x:c r="N53" s="512">
        <x:v>3</x:v>
      </x:c>
      <x:c r="O53" s="512">
        <x:v>6</x:v>
      </x:c>
      <x:c r="P53" s="512">
        <x:v>8</x:v>
      </x:c>
      <x:c r="Q53" s="512">
        <x:v>5</x:v>
      </x:c>
      <x:c r="R53" s="512">
        <x:v>39</x:v>
      </x:c>
      <x:c r="S53" s="512">
        <x:v>47</x:v>
      </x:c>
      <x:c r="T53" s="512">
        <x:v>214</x:v>
      </x:c>
      <x:c r="U53" s="512">
        <x:v>83</x:v>
      </x:c>
      <x:c r="V53" s="512">
        <x:v>115</x:v>
      </x:c>
      <x:c r="W53" s="512">
        <x:v>197</x:v>
      </x:c>
      <x:c r="X53" s="512">
        <x:v>146</x:v>
      </x:c>
      <x:c r="Y53" s="512">
        <x:v>81</x:v>
      </x:c>
      <x:c r="Z53" s="512"/>
      <x:c r="AA53" s="512"/>
      <x:c r="AB53" s="512"/>
      <x:c r="AC53" s="512"/>
      <x:c r="AD53" s="512"/>
      <x:c r="AE53" s="512"/>
      <x:c r="AF53" s="512"/>
      <x:c r="AG53" s="512"/>
      <x:c r="AH53" s="512"/>
      <x:c r="AI53" s="512"/>
      <x:c r="AJ53" s="512"/>
      <x:c r="AK53" s="512"/>
      <x:c r="AL53" s="512"/>
      <x:c r="AM53" s="512"/>
      <x:c r="AN53" s="512"/>
      <x:c r="AO53" s="514"/>
    </x:row>
    <x:row r="54" ht="19" customHeight="1">
      <x:c r="B54" s="509">
        <x:v>53</x:v>
      </x:c>
      <x:c r="C54" s="519"/>
      <x:c r="D54" s="519"/>
      <x:c r="E54" s="519"/>
      <x:c r="F54" s="519"/>
      <x:c r="G54" s="512">
        <x:v>0</x:v>
      </x:c>
      <x:c r="H54" s="512">
        <x:v>22</x:v>
      </x:c>
      <x:c r="I54" s="512">
        <x:v>15</x:v>
      </x:c>
      <x:c r="J54" s="512">
        <x:v>22</x:v>
      </x:c>
      <x:c r="K54" s="512">
        <x:v>11</x:v>
      </x:c>
      <x:c r="L54" s="512">
        <x:v>21</x:v>
      </x:c>
      <x:c r="M54" s="512">
        <x:v>31</x:v>
      </x:c>
      <x:c r="N54" s="512">
        <x:v>16</x:v>
      </x:c>
      <x:c r="O54" s="512">
        <x:v>4</x:v>
      </x:c>
      <x:c r="P54" s="512">
        <x:v>17</x:v>
      </x:c>
      <x:c r="Q54" s="512">
        <x:v>0</x:v>
      </x:c>
      <x:c r="R54" s="512">
        <x:v>24</x:v>
      </x:c>
      <x:c r="S54" s="512">
        <x:v>8</x:v>
      </x:c>
      <x:c r="T54" s="512">
        <x:v>80</x:v>
      </x:c>
      <x:c r="U54" s="512">
        <x:v>0</x:v>
      </x:c>
      <x:c r="V54" s="512">
        <x:v>147</x:v>
      </x:c>
      <x:c r="W54" s="512">
        <x:v>31</x:v>
      </x:c>
      <x:c r="X54" s="512">
        <x:v>26</x:v>
      </x:c>
      <x:c r="Y54" s="512">
        <x:v>2</x:v>
      </x:c>
      <x:c r="Z54" s="512"/>
      <x:c r="AA54" s="512"/>
      <x:c r="AB54" s="512"/>
      <x:c r="AC54" s="512"/>
      <x:c r="AD54" s="512"/>
      <x:c r="AE54" s="512"/>
      <x:c r="AF54" s="512"/>
      <x:c r="AG54" s="512"/>
      <x:c r="AH54" s="512"/>
      <x:c r="AI54" s="512"/>
      <x:c r="AJ54" s="512"/>
      <x:c r="AK54" s="512"/>
      <x:c r="AL54" s="512"/>
      <x:c r="AM54" s="512"/>
      <x:c r="AN54" s="512"/>
      <x:c r="AO54" s="514"/>
    </x:row>
    <x:row r="55" ht="19" customHeight="1">
      <x:c r="B55" s="509">
        <x:v>54</x:v>
      </x:c>
      <x:c r="C55" s="519"/>
      <x:c r="D55" s="519"/>
      <x:c r="E55" s="519"/>
      <x:c r="F55" s="519"/>
      <x:c r="G55" s="512">
        <x:v>0</x:v>
      </x:c>
      <x:c r="H55" s="512">
        <x:v>0</x:v>
      </x:c>
      <x:c r="I55" s="512">
        <x:v>0</x:v>
      </x:c>
      <x:c r="J55" s="512">
        <x:v>0</x:v>
      </x:c>
      <x:c r="K55" s="512">
        <x:v>1</x:v>
      </x:c>
      <x:c r="L55" s="512">
        <x:v>14</x:v>
      </x:c>
      <x:c r="M55" s="512">
        <x:v>7</x:v>
      </x:c>
      <x:c r="N55" s="512">
        <x:v>20</x:v>
      </x:c>
      <x:c r="O55" s="512">
        <x:v>37</x:v>
      </x:c>
      <x:c r="P55" s="512">
        <x:v>4</x:v>
      </x:c>
      <x:c r="Q55" s="512">
        <x:v>0</x:v>
      </x:c>
      <x:c r="R55" s="512">
        <x:v>12</x:v>
      </x:c>
      <x:c r="S55" s="512">
        <x:v>12</x:v>
      </x:c>
      <x:c r="T55" s="512">
        <x:v>4</x:v>
      </x:c>
      <x:c r="U55" s="512">
        <x:v>265</x:v>
      </x:c>
      <x:c r="V55" s="512">
        <x:v>132</x:v>
      </x:c>
      <x:c r="W55" s="512">
        <x:v>3</x:v>
      </x:c>
      <x:c r="X55" s="512">
        <x:v>22</x:v>
      </x:c>
      <x:c r="Y55" s="512">
        <x:v>21</x:v>
      </x:c>
      <x:c r="Z55" s="512"/>
      <x:c r="AA55" s="512"/>
      <x:c r="AB55" s="512"/>
      <x:c r="AC55" s="512"/>
      <x:c r="AD55" s="512"/>
      <x:c r="AE55" s="512"/>
      <x:c r="AF55" s="512"/>
      <x:c r="AG55" s="512"/>
      <x:c r="AH55" s="512"/>
      <x:c r="AI55" s="512"/>
      <x:c r="AJ55" s="512"/>
      <x:c r="AK55" s="512"/>
      <x:c r="AL55" s="512"/>
      <x:c r="AM55" s="512"/>
      <x:c r="AN55" s="512"/>
      <x:c r="AO55" s="514"/>
    </x:row>
    <x:row r="56" ht="19" customHeight="1">
      <x:c r="B56" s="509">
        <x:v>55</x:v>
      </x:c>
      <x:c r="C56" s="519"/>
      <x:c r="D56" s="519"/>
      <x:c r="E56" s="519"/>
      <x:c r="F56" s="519"/>
      <x:c r="G56" s="519"/>
      <x:c r="H56" s="519"/>
      <x:c r="I56" s="519"/>
      <x:c r="J56" s="519"/>
      <x:c r="K56" s="519"/>
      <x:c r="L56" s="519"/>
      <x:c r="M56" s="512">
        <x:v>3</x:v>
      </x:c>
      <x:c r="N56" s="512">
        <x:v>0</x:v>
      </x:c>
      <x:c r="O56" s="512">
        <x:v>66</x:v>
      </x:c>
      <x:c r="P56" s="512">
        <x:v>201</x:v>
      </x:c>
      <x:c r="Q56" s="512">
        <x:v>98</x:v>
      </x:c>
      <x:c r="R56" s="512">
        <x:v>97</x:v>
      </x:c>
      <x:c r="S56" s="512">
        <x:v>69</x:v>
      </x:c>
      <x:c r="T56" s="512">
        <x:v>98</x:v>
      </x:c>
      <x:c r="U56" s="512">
        <x:v>94</x:v>
      </x:c>
      <x:c r="V56" s="512">
        <x:v>126</x:v>
      </x:c>
      <x:c r="W56" s="512">
        <x:v>134</x:v>
      </x:c>
      <x:c r="X56" s="512">
        <x:v>57</x:v>
      </x:c>
      <x:c r="Y56" s="512">
        <x:v>0</x:v>
      </x:c>
      <x:c r="Z56" s="512"/>
      <x:c r="AA56" s="512"/>
      <x:c r="AB56" s="512"/>
      <x:c r="AC56" s="512"/>
      <x:c r="AD56" s="512"/>
      <x:c r="AE56" s="512"/>
      <x:c r="AF56" s="512"/>
      <x:c r="AG56" s="512"/>
      <x:c r="AH56" s="512"/>
      <x:c r="AI56" s="512"/>
      <x:c r="AJ56" s="512"/>
      <x:c r="AK56" s="512"/>
      <x:c r="AL56" s="512"/>
      <x:c r="AM56" s="512"/>
      <x:c r="AN56" s="512"/>
      <x:c r="AO56" s="514"/>
    </x:row>
    <x:row r="57" ht="19" customHeight="1">
      <x:c r="B57" s="539">
        <x:v>56</x:v>
      </x:c>
      <x:c r="C57" s="542"/>
      <x:c r="D57" s="542"/>
      <x:c r="E57" s="542"/>
      <x:c r="F57" s="542"/>
      <x:c r="G57" s="542"/>
      <x:c r="H57" s="542"/>
      <x:c r="I57" s="542"/>
      <x:c r="J57" s="542"/>
      <x:c r="K57" s="542"/>
      <x:c r="L57" s="542"/>
      <x:c r="M57" s="543">
        <x:v>0</x:v>
      </x:c>
      <x:c r="N57" s="543">
        <x:v>0</x:v>
      </x:c>
      <x:c r="O57" s="543">
        <x:v>135</x:v>
      </x:c>
      <x:c r="P57" s="543">
        <x:v>105</x:v>
      </x:c>
      <x:c r="Q57" s="512">
        <x:v>53</x:v>
      </x:c>
      <x:c r="R57" s="512">
        <x:v>47</x:v>
      </x:c>
      <x:c r="S57" s="512">
        <x:v>73</x:v>
      </x:c>
      <x:c r="T57" s="512">
        <x:v>141</x:v>
      </x:c>
      <x:c r="U57" s="512">
        <x:v>57</x:v>
      </x:c>
      <x:c r="V57" s="543">
        <x:v>330</x:v>
      </x:c>
      <x:c r="W57" s="543">
        <x:v>402</x:v>
      </x:c>
      <x:c r="X57" s="543">
        <x:v>249</x:v>
      </x:c>
      <x:c r="Y57" s="543">
        <x:v>73</x:v>
      </x:c>
      <x:c r="Z57" s="543"/>
      <x:c r="AA57" s="543"/>
      <x:c r="AB57" s="543"/>
      <x:c r="AC57" s="543"/>
      <x:c r="AD57" s="543"/>
      <x:c r="AE57" s="543"/>
      <x:c r="AF57" s="543"/>
      <x:c r="AG57" s="543"/>
      <x:c r="AH57" s="543"/>
      <x:c r="AI57" s="543"/>
      <x:c r="AJ57" s="543"/>
      <x:c r="AK57" s="543"/>
      <x:c r="AL57" s="543"/>
      <x:c r="AM57" s="543"/>
      <x:c r="AN57" s="543"/>
      <x:c r="AO57" s="544"/>
    </x:row>
    <x:row r="58" ht="19" customHeight="1">
      <x:c r="B58" s="509">
        <x:v>57</x:v>
      </x:c>
      <x:c r="C58" s="519"/>
      <x:c r="D58" s="519"/>
      <x:c r="E58" s="519"/>
      <x:c r="F58" s="519"/>
      <x:c r="G58" s="519"/>
      <x:c r="H58" s="519"/>
      <x:c r="I58" s="519"/>
      <x:c r="J58" s="519"/>
      <x:c r="K58" s="519"/>
      <x:c r="L58" s="519"/>
      <x:c r="M58" s="519"/>
      <x:c r="N58" s="519"/>
      <x:c r="O58" s="519"/>
      <x:c r="P58" s="519"/>
      <x:c r="Q58" s="519"/>
      <x:c r="R58" s="519"/>
      <x:c r="S58" s="512">
        <x:v>1</x:v>
      </x:c>
      <x:c r="T58" s="512">
        <x:v>3</x:v>
      </x:c>
      <x:c r="U58" s="512">
        <x:v>1</x:v>
      </x:c>
      <x:c r="V58" s="512">
        <x:v>18</x:v>
      </x:c>
      <x:c r="W58" s="543">
        <x:v>14</x:v>
      </x:c>
      <x:c r="X58" s="512">
        <x:v>39</x:v>
      </x:c>
      <x:c r="Y58" s="512">
        <x:v>48</x:v>
      </x:c>
      <x:c r="Z58" s="512"/>
      <x:c r="AA58" s="512"/>
      <x:c r="AB58" s="512"/>
      <x:c r="AC58" s="512"/>
      <x:c r="AD58" s="512"/>
      <x:c r="AE58" s="512"/>
      <x:c r="AF58" s="512"/>
      <x:c r="AG58" s="512"/>
      <x:c r="AH58" s="512"/>
      <x:c r="AI58" s="512"/>
      <x:c r="AJ58" s="512"/>
      <x:c r="AK58" s="512"/>
      <x:c r="AL58" s="512"/>
      <x:c r="AM58" s="512"/>
      <x:c r="AN58" s="512"/>
      <x:c r="AO58" s="514"/>
    </x:row>
    <x:row r="59" ht="19" customHeight="1">
      <x:c r="B59" s="509">
        <x:v>58</x:v>
      </x:c>
      <x:c r="C59" s="519"/>
      <x:c r="D59" s="519"/>
      <x:c r="E59" s="519"/>
      <x:c r="F59" s="519"/>
      <x:c r="G59" s="519"/>
      <x:c r="H59" s="519"/>
      <x:c r="I59" s="519"/>
      <x:c r="J59" s="519"/>
      <x:c r="K59" s="519"/>
      <x:c r="L59" s="519"/>
      <x:c r="M59" s="519"/>
      <x:c r="N59" s="519"/>
      <x:c r="O59" s="519"/>
      <x:c r="P59" s="519"/>
      <x:c r="Q59" s="519"/>
      <x:c r="R59" s="519"/>
      <x:c r="S59" s="519"/>
      <x:c r="T59" s="512">
        <x:v>132</x:v>
      </x:c>
      <x:c r="U59" s="512">
        <x:v>32</x:v>
      </x:c>
      <x:c r="V59" s="512">
        <x:v>90</x:v>
      </x:c>
      <x:c r="W59" s="543">
        <x:v>12</x:v>
      </x:c>
      <x:c r="X59" s="512">
        <x:v>69</x:v>
      </x:c>
      <x:c r="Y59" s="512">
        <x:v>1</x:v>
      </x:c>
      <x:c r="Z59" s="512"/>
      <x:c r="AA59" s="512"/>
      <x:c r="AB59" s="512"/>
      <x:c r="AC59" s="512"/>
      <x:c r="AD59" s="512"/>
      <x:c r="AE59" s="512"/>
      <x:c r="AF59" s="512"/>
      <x:c r="AG59" s="512"/>
      <x:c r="AH59" s="512"/>
      <x:c r="AI59" s="512"/>
      <x:c r="AJ59" s="512"/>
      <x:c r="AK59" s="512"/>
      <x:c r="AL59" s="512"/>
      <x:c r="AM59" s="512"/>
      <x:c r="AN59" s="512"/>
      <x:c r="AO59" s="514"/>
    </x:row>
    <x:row r="60" ht="19" customHeight="1">
      <x:c r="B60" s="509">
        <x:v>59</x:v>
      </x:c>
      <x:c r="C60" s="519"/>
      <x:c r="D60" s="519"/>
      <x:c r="E60" s="519"/>
      <x:c r="F60" s="519"/>
      <x:c r="G60" s="519"/>
      <x:c r="H60" s="519"/>
      <x:c r="I60" s="519"/>
      <x:c r="J60" s="519"/>
      <x:c r="K60" s="519"/>
      <x:c r="L60" s="519"/>
      <x:c r="M60" s="519"/>
      <x:c r="N60" s="519"/>
      <x:c r="O60" s="519"/>
      <x:c r="P60" s="519"/>
      <x:c r="Q60" s="519"/>
      <x:c r="R60" s="519"/>
      <x:c r="S60" s="519"/>
      <x:c r="T60" s="513">
        <x:v>0</x:v>
      </x:c>
      <x:c r="U60" s="512">
        <x:v>0</x:v>
      </x:c>
      <x:c r="V60" s="512">
        <x:v>4</x:v>
      </x:c>
      <x:c r="W60" s="512">
        <x:v>0</x:v>
      </x:c>
      <x:c r="X60" s="512">
        <x:v>102</x:v>
      </x:c>
      <x:c r="Y60" s="512">
        <x:v>8</x:v>
      </x:c>
      <x:c r="Z60" s="512"/>
      <x:c r="AA60" s="512"/>
      <x:c r="AB60" s="512"/>
      <x:c r="AC60" s="512"/>
      <x:c r="AD60" s="512"/>
      <x:c r="AE60" s="512"/>
      <x:c r="AF60" s="512"/>
      <x:c r="AG60" s="512"/>
      <x:c r="AH60" s="512"/>
      <x:c r="AI60" s="512"/>
      <x:c r="AJ60" s="512"/>
      <x:c r="AK60" s="512"/>
      <x:c r="AL60" s="512"/>
      <x:c r="AM60" s="512"/>
      <x:c r="AN60" s="512"/>
      <x:c r="AO60" s="514"/>
    </x:row>
    <x:row r="61" ht="19" customHeight="1">
      <x:c r="B61" s="509">
        <x:v>60</x:v>
      </x:c>
      <x:c r="C61" s="519"/>
      <x:c r="D61" s="519"/>
      <x:c r="E61" s="519"/>
      <x:c r="F61" s="519"/>
      <x:c r="G61" s="519"/>
      <x:c r="H61" s="519"/>
      <x:c r="I61" s="519"/>
      <x:c r="J61" s="519"/>
      <x:c r="K61" s="519"/>
      <x:c r="L61" s="519"/>
      <x:c r="M61" s="519"/>
      <x:c r="N61" s="519"/>
      <x:c r="O61" s="519"/>
      <x:c r="P61" s="519"/>
      <x:c r="Q61" s="519"/>
      <x:c r="R61" s="519"/>
      <x:c r="S61" s="519"/>
      <x:c r="T61" s="519"/>
      <x:c r="U61" s="519"/>
      <x:c r="V61" s="519"/>
      <x:c r="W61" s="519"/>
      <x:c r="X61" s="512">
        <x:v>0</x:v>
      </x:c>
      <x:c r="Y61" s="512">
        <x:v>0</x:v>
      </x:c>
      <x:c r="Z61" s="512"/>
      <x:c r="AA61" s="512"/>
      <x:c r="AB61" s="512"/>
      <x:c r="AC61" s="512"/>
      <x:c r="AD61" s="512"/>
      <x:c r="AE61" s="512"/>
      <x:c r="AF61" s="512"/>
      <x:c r="AG61" s="512"/>
      <x:c r="AH61" s="512"/>
      <x:c r="AI61" s="512"/>
      <x:c r="AJ61" s="512"/>
      <x:c r="AK61" s="512"/>
      <x:c r="AL61" s="512"/>
      <x:c r="AM61" s="512"/>
      <x:c r="AN61" s="512"/>
      <x:c r="AO61" s="514"/>
    </x:row>
    <x:row r="62" ht="19" customHeight="1">
      <x:c r="B62" s="509">
        <x:v>61</x:v>
      </x:c>
      <x:c r="C62" s="519"/>
      <x:c r="D62" s="519"/>
      <x:c r="E62" s="519"/>
      <x:c r="F62" s="519"/>
      <x:c r="G62" s="519"/>
      <x:c r="H62" s="519"/>
      <x:c r="I62" s="519"/>
      <x:c r="J62" s="519"/>
      <x:c r="K62" s="519"/>
      <x:c r="L62" s="519"/>
      <x:c r="M62" s="519"/>
      <x:c r="N62" s="519"/>
      <x:c r="O62" s="519"/>
      <x:c r="P62" s="519"/>
      <x:c r="Q62" s="519"/>
      <x:c r="R62" s="519"/>
      <x:c r="S62" s="519"/>
      <x:c r="T62" s="519"/>
      <x:c r="U62" s="519"/>
      <x:c r="V62" s="519"/>
      <x:c r="W62" s="519"/>
      <x:c r="X62" s="512">
        <x:v>0</x:v>
      </x:c>
      <x:c r="Y62" s="512">
        <x:v>6</x:v>
      </x:c>
      <x:c r="Z62" s="512"/>
      <x:c r="AA62" s="512"/>
      <x:c r="AB62" s="512"/>
      <x:c r="AC62" s="512"/>
      <x:c r="AD62" s="512"/>
      <x:c r="AE62" s="512"/>
      <x:c r="AF62" s="512"/>
      <x:c r="AG62" s="512"/>
      <x:c r="AH62" s="512"/>
      <x:c r="AI62" s="512"/>
      <x:c r="AJ62" s="512"/>
      <x:c r="AK62" s="512"/>
      <x:c r="AL62" s="512"/>
      <x:c r="AM62" s="512"/>
      <x:c r="AN62" s="512"/>
      <x:c r="AO62" s="514"/>
    </x:row>
    <x:row r="63" ht="19" customHeight="1">
      <x:c r="B63" s="510" t="str">
        <x:f>IF('CADASTRO DE LOJAS'!E65="SIM",'CADASTRO DE LOJAS'!B65,"")</x:f>
      </x:c>
      <x:c r="C63" s="520"/>
      <x:c r="D63" s="520"/>
      <x:c r="E63" s="520"/>
      <x:c r="F63" s="520"/>
      <x:c r="G63" s="520"/>
      <x:c r="H63" s="520"/>
      <x:c r="I63" s="520"/>
      <x:c r="J63" s="520"/>
      <x:c r="K63" s="520"/>
      <x:c r="L63" s="520"/>
      <x:c r="M63" s="520"/>
      <x:c r="N63" s="520"/>
      <x:c r="O63" s="520"/>
      <x:c r="P63" s="520"/>
      <x:c r="Q63" s="520"/>
      <x:c r="R63" s="520"/>
      <x:c r="S63" s="520"/>
      <x:c r="T63" s="520"/>
      <x:c r="U63" s="520"/>
      <x:c r="V63" s="520"/>
      <x:c r="W63" s="520"/>
      <x:c r="X63" s="520"/>
      <x:c r="Y63" s="520"/>
      <x:c r="Z63" s="520"/>
      <x:c r="AA63" s="520"/>
      <x:c r="AB63" s="520"/>
      <x:c r="AC63" s="520"/>
      <x:c r="AD63" s="520"/>
      <x:c r="AE63" s="520"/>
      <x:c r="AF63" s="520"/>
      <x:c r="AG63" s="520"/>
      <x:c r="AH63" s="520"/>
      <x:c r="AI63" s="520"/>
      <x:c r="AJ63" s="520"/>
      <x:c r="AK63" s="520"/>
      <x:c r="AL63" s="520"/>
      <x:c r="AM63" s="520"/>
      <x:c r="AN63" s="520"/>
      <x:c r="AO63" s="521"/>
    </x:row>
    <x:row r="64" ht="19" customHeight="1">
      <x:c r="B64" s="510" t="str">
        <x:f>IF('CADASTRO DE LOJAS'!E66="SIM",'CADASTRO DE LOJAS'!B66,"")</x:f>
      </x:c>
      <x:c r="C64" s="520"/>
      <x:c r="D64" s="520"/>
      <x:c r="E64" s="520"/>
      <x:c r="F64" s="520"/>
      <x:c r="G64" s="520"/>
      <x:c r="H64" s="520"/>
      <x:c r="I64" s="520"/>
      <x:c r="J64" s="520"/>
      <x:c r="K64" s="520"/>
      <x:c r="L64" s="520"/>
      <x:c r="M64" s="520"/>
      <x:c r="N64" s="520"/>
      <x:c r="O64" s="520"/>
      <x:c r="P64" s="520"/>
      <x:c r="Q64" s="520"/>
      <x:c r="R64" s="520"/>
      <x:c r="S64" s="520"/>
      <x:c r="T64" s="520"/>
      <x:c r="U64" s="520"/>
      <x:c r="V64" s="520"/>
      <x:c r="W64" s="520"/>
      <x:c r="X64" s="520"/>
      <x:c r="Y64" s="520"/>
      <x:c r="Z64" s="520"/>
      <x:c r="AA64" s="520"/>
      <x:c r="AB64" s="520"/>
      <x:c r="AC64" s="520"/>
      <x:c r="AD64" s="520"/>
      <x:c r="AE64" s="520"/>
      <x:c r="AF64" s="520"/>
      <x:c r="AG64" s="520"/>
      <x:c r="AH64" s="520"/>
      <x:c r="AI64" s="520"/>
      <x:c r="AJ64" s="520"/>
      <x:c r="AK64" s="520"/>
      <x:c r="AL64" s="520"/>
      <x:c r="AM64" s="520"/>
      <x:c r="AN64" s="520"/>
      <x:c r="AO64" s="521"/>
    </x:row>
    <x:row r="65" ht="19" customHeight="1">
      <x:c r="B65" s="510" t="str">
        <x:f>IF('CADASTRO DE LOJAS'!E67="SIM",'CADASTRO DE LOJAS'!B67,"")</x:f>
      </x:c>
      <x:c r="C65" s="520"/>
      <x:c r="D65" s="520"/>
      <x:c r="E65" s="520"/>
      <x:c r="F65" s="520"/>
      <x:c r="G65" s="520"/>
      <x:c r="H65" s="520"/>
      <x:c r="I65" s="520"/>
      <x:c r="J65" s="520"/>
      <x:c r="K65" s="520"/>
      <x:c r="L65" s="520"/>
      <x:c r="M65" s="520"/>
      <x:c r="N65" s="520"/>
      <x:c r="O65" s="520"/>
      <x:c r="P65" s="520"/>
      <x:c r="Q65" s="520"/>
      <x:c r="R65" s="520"/>
      <x:c r="S65" s="520"/>
      <x:c r="T65" s="520"/>
      <x:c r="U65" s="520"/>
      <x:c r="V65" s="520"/>
      <x:c r="W65" s="520"/>
      <x:c r="X65" s="520"/>
      <x:c r="Y65" s="520"/>
      <x:c r="Z65" s="520"/>
      <x:c r="AA65" s="520"/>
      <x:c r="AB65" s="520"/>
      <x:c r="AC65" s="520"/>
      <x:c r="AD65" s="520"/>
      <x:c r="AE65" s="520"/>
      <x:c r="AF65" s="520"/>
      <x:c r="AG65" s="520"/>
      <x:c r="AH65" s="520"/>
      <x:c r="AI65" s="520"/>
      <x:c r="AJ65" s="520"/>
      <x:c r="AK65" s="520"/>
      <x:c r="AL65" s="520"/>
      <x:c r="AM65" s="520"/>
      <x:c r="AN65" s="520"/>
      <x:c r="AO65" s="521"/>
    </x:row>
    <x:row r="66" ht="19" customHeight="1">
      <x:c r="B66" s="510" t="str">
        <x:f>IF('CADASTRO DE LOJAS'!E68="SIM",'CADASTRO DE LOJAS'!B68,"")</x:f>
      </x:c>
      <x:c r="C66" s="520"/>
      <x:c r="D66" s="520"/>
      <x:c r="E66" s="520"/>
      <x:c r="F66" s="520"/>
      <x:c r="G66" s="520"/>
      <x:c r="H66" s="520"/>
      <x:c r="I66" s="520"/>
      <x:c r="J66" s="520"/>
      <x:c r="K66" s="520"/>
      <x:c r="L66" s="520"/>
      <x:c r="M66" s="520"/>
      <x:c r="N66" s="520"/>
      <x:c r="O66" s="520"/>
      <x:c r="P66" s="520"/>
      <x:c r="Q66" s="520"/>
      <x:c r="R66" s="520"/>
      <x:c r="S66" s="520"/>
      <x:c r="T66" s="520"/>
      <x:c r="U66" s="520"/>
      <x:c r="V66" s="520"/>
      <x:c r="W66" s="520"/>
      <x:c r="X66" s="520"/>
      <x:c r="Y66" s="520"/>
      <x:c r="Z66" s="520"/>
      <x:c r="AA66" s="520"/>
      <x:c r="AB66" s="520"/>
      <x:c r="AC66" s="520"/>
      <x:c r="AD66" s="520"/>
      <x:c r="AE66" s="520"/>
      <x:c r="AF66" s="520"/>
      <x:c r="AG66" s="520"/>
      <x:c r="AH66" s="520"/>
      <x:c r="AI66" s="520"/>
      <x:c r="AJ66" s="520"/>
      <x:c r="AK66" s="520"/>
      <x:c r="AL66" s="520"/>
      <x:c r="AM66" s="520"/>
      <x:c r="AN66" s="520"/>
      <x:c r="AO66" s="521"/>
    </x:row>
    <x:row r="67" ht="19" customHeight="1">
      <x:c r="B67" s="510" t="str">
        <x:f>IF('CADASTRO DE LOJAS'!E69="SIM",'CADASTRO DE LOJAS'!B69,"")</x:f>
      </x:c>
      <x:c r="C67" s="520"/>
      <x:c r="D67" s="520"/>
      <x:c r="E67" s="520"/>
      <x:c r="F67" s="520"/>
      <x:c r="G67" s="520"/>
      <x:c r="H67" s="520"/>
      <x:c r="I67" s="520"/>
      <x:c r="J67" s="520"/>
      <x:c r="K67" s="520"/>
      <x:c r="L67" s="520"/>
      <x:c r="M67" s="520"/>
      <x:c r="N67" s="520"/>
      <x:c r="O67" s="520"/>
      <x:c r="P67" s="520"/>
      <x:c r="Q67" s="520"/>
      <x:c r="R67" s="520"/>
      <x:c r="S67" s="520"/>
      <x:c r="T67" s="520"/>
      <x:c r="U67" s="520"/>
      <x:c r="V67" s="520"/>
      <x:c r="W67" s="520"/>
      <x:c r="X67" s="520"/>
      <x:c r="Y67" s="520"/>
      <x:c r="Z67" s="520"/>
      <x:c r="AA67" s="520"/>
      <x:c r="AB67" s="520"/>
      <x:c r="AC67" s="520"/>
      <x:c r="AD67" s="520"/>
      <x:c r="AE67" s="520"/>
      <x:c r="AF67" s="520"/>
      <x:c r="AG67" s="520"/>
      <x:c r="AH67" s="520"/>
      <x:c r="AI67" s="520"/>
      <x:c r="AJ67" s="520"/>
      <x:c r="AK67" s="520"/>
      <x:c r="AL67" s="520"/>
      <x:c r="AM67" s="520"/>
      <x:c r="AN67" s="520"/>
      <x:c r="AO67" s="521"/>
    </x:row>
    <x:row r="68" ht="19" customHeight="1">
      <x:c r="B68" s="510" t="str">
        <x:f>IF('CADASTRO DE LOJAS'!E70="SIM",'CADASTRO DE LOJAS'!B70,"")</x:f>
      </x:c>
      <x:c r="C68" s="520"/>
      <x:c r="D68" s="520"/>
      <x:c r="E68" s="520"/>
      <x:c r="F68" s="520"/>
      <x:c r="G68" s="520"/>
      <x:c r="H68" s="520"/>
      <x:c r="I68" s="520"/>
      <x:c r="J68" s="520"/>
      <x:c r="K68" s="520"/>
      <x:c r="L68" s="520"/>
      <x:c r="M68" s="520"/>
      <x:c r="N68" s="520"/>
      <x:c r="O68" s="520"/>
      <x:c r="P68" s="520"/>
      <x:c r="Q68" s="520"/>
      <x:c r="R68" s="520"/>
      <x:c r="S68" s="520"/>
      <x:c r="T68" s="520"/>
      <x:c r="U68" s="520"/>
      <x:c r="V68" s="520"/>
      <x:c r="W68" s="520"/>
      <x:c r="X68" s="520"/>
      <x:c r="Y68" s="520"/>
      <x:c r="Z68" s="520"/>
      <x:c r="AA68" s="520"/>
      <x:c r="AB68" s="520"/>
      <x:c r="AC68" s="520"/>
      <x:c r="AD68" s="520"/>
      <x:c r="AE68" s="520"/>
      <x:c r="AF68" s="520"/>
      <x:c r="AG68" s="520"/>
      <x:c r="AH68" s="520"/>
      <x:c r="AI68" s="520"/>
      <x:c r="AJ68" s="520"/>
      <x:c r="AK68" s="520"/>
      <x:c r="AL68" s="520"/>
      <x:c r="AM68" s="520"/>
      <x:c r="AN68" s="520"/>
      <x:c r="AO68" s="521"/>
    </x:row>
    <x:row r="69" ht="19" customHeight="1">
      <x:c r="B69" s="510" t="str">
        <x:f>IF('CADASTRO DE LOJAS'!E71="SIM",'CADASTRO DE LOJAS'!B71,"")</x:f>
      </x:c>
      <x:c r="C69" s="520"/>
      <x:c r="D69" s="520"/>
      <x:c r="E69" s="520"/>
      <x:c r="F69" s="520"/>
      <x:c r="G69" s="520"/>
      <x:c r="H69" s="520"/>
      <x:c r="I69" s="520"/>
      <x:c r="J69" s="520"/>
      <x:c r="K69" s="520"/>
      <x:c r="L69" s="520"/>
      <x:c r="M69" s="520"/>
      <x:c r="N69" s="520"/>
      <x:c r="O69" s="520"/>
      <x:c r="P69" s="520"/>
      <x:c r="Q69" s="520"/>
      <x:c r="R69" s="520"/>
      <x:c r="S69" s="520"/>
      <x:c r="T69" s="520"/>
      <x:c r="U69" s="520"/>
      <x:c r="V69" s="520"/>
      <x:c r="W69" s="520"/>
      <x:c r="X69" s="520"/>
      <x:c r="Y69" s="520"/>
      <x:c r="Z69" s="520"/>
      <x:c r="AA69" s="520"/>
      <x:c r="AB69" s="520"/>
      <x:c r="AC69" s="520"/>
      <x:c r="AD69" s="520"/>
      <x:c r="AE69" s="520"/>
      <x:c r="AF69" s="520"/>
      <x:c r="AG69" s="520"/>
      <x:c r="AH69" s="520"/>
      <x:c r="AI69" s="520"/>
      <x:c r="AJ69" s="520"/>
      <x:c r="AK69" s="520"/>
      <x:c r="AL69" s="520"/>
      <x:c r="AM69" s="520"/>
      <x:c r="AN69" s="520"/>
      <x:c r="AO69" s="521"/>
    </x:row>
    <x:row r="70" ht="19" customHeight="1">
      <x:c r="B70" s="510" t="str">
        <x:f>IF('CADASTRO DE LOJAS'!E72="SIM",'CADASTRO DE LOJAS'!B72,"")</x:f>
      </x:c>
      <x:c r="C70" s="520"/>
      <x:c r="D70" s="520"/>
      <x:c r="E70" s="520"/>
      <x:c r="F70" s="520"/>
      <x:c r="G70" s="520"/>
      <x:c r="H70" s="520"/>
      <x:c r="I70" s="520"/>
      <x:c r="J70" s="520"/>
      <x:c r="K70" s="520"/>
      <x:c r="L70" s="520"/>
      <x:c r="M70" s="520"/>
      <x:c r="N70" s="520"/>
      <x:c r="O70" s="520"/>
      <x:c r="P70" s="520"/>
      <x:c r="Q70" s="520"/>
      <x:c r="R70" s="520"/>
      <x:c r="S70" s="520"/>
      <x:c r="T70" s="520"/>
      <x:c r="U70" s="520"/>
      <x:c r="V70" s="520"/>
      <x:c r="W70" s="520"/>
      <x:c r="X70" s="520"/>
      <x:c r="Y70" s="520"/>
      <x:c r="Z70" s="520"/>
      <x:c r="AA70" s="520"/>
      <x:c r="AB70" s="520"/>
      <x:c r="AC70" s="520"/>
      <x:c r="AD70" s="520"/>
      <x:c r="AE70" s="520"/>
      <x:c r="AF70" s="520"/>
      <x:c r="AG70" s="520"/>
      <x:c r="AH70" s="520"/>
      <x:c r="AI70" s="520"/>
      <x:c r="AJ70" s="520"/>
      <x:c r="AK70" s="520"/>
      <x:c r="AL70" s="520"/>
      <x:c r="AM70" s="520"/>
      <x:c r="AN70" s="520"/>
      <x:c r="AO70" s="521"/>
    </x:row>
    <x:row r="71" ht="19" customHeight="1">
      <x:c r="B71" s="510" t="str">
        <x:f>IF('CADASTRO DE LOJAS'!E73="SIM",'CADASTRO DE LOJAS'!B73,"")</x:f>
      </x:c>
      <x:c r="C71" s="520"/>
      <x:c r="D71" s="520"/>
      <x:c r="E71" s="520"/>
      <x:c r="F71" s="520"/>
      <x:c r="G71" s="520"/>
      <x:c r="H71" s="520"/>
      <x:c r="I71" s="520"/>
      <x:c r="J71" s="520"/>
      <x:c r="K71" s="520"/>
      <x:c r="L71" s="520"/>
      <x:c r="M71" s="520"/>
      <x:c r="N71" s="520"/>
      <x:c r="O71" s="520"/>
      <x:c r="P71" s="520"/>
      <x:c r="Q71" s="520"/>
      <x:c r="R71" s="520"/>
      <x:c r="S71" s="520"/>
      <x:c r="T71" s="520"/>
      <x:c r="U71" s="520"/>
      <x:c r="V71" s="520"/>
      <x:c r="W71" s="520"/>
      <x:c r="X71" s="520"/>
      <x:c r="Y71" s="520"/>
      <x:c r="Z71" s="520"/>
      <x:c r="AA71" s="520"/>
      <x:c r="AB71" s="520"/>
      <x:c r="AC71" s="520"/>
      <x:c r="AD71" s="520"/>
      <x:c r="AE71" s="520"/>
      <x:c r="AF71" s="520"/>
      <x:c r="AG71" s="520"/>
      <x:c r="AH71" s="520"/>
      <x:c r="AI71" s="520"/>
      <x:c r="AJ71" s="520"/>
      <x:c r="AK71" s="520"/>
      <x:c r="AL71" s="520"/>
      <x:c r="AM71" s="520"/>
      <x:c r="AN71" s="520"/>
      <x:c r="AO71" s="521"/>
    </x:row>
    <x:row r="72" ht="19" customHeight="1">
      <x:c r="B72" s="510" t="str">
        <x:f>IF('CADASTRO DE LOJAS'!E74="SIM",'CADASTRO DE LOJAS'!B74,"")</x:f>
      </x:c>
      <x:c r="C72" s="520"/>
      <x:c r="D72" s="520"/>
      <x:c r="E72" s="520"/>
      <x:c r="F72" s="520"/>
      <x:c r="G72" s="520"/>
      <x:c r="H72" s="520"/>
      <x:c r="I72" s="520"/>
      <x:c r="J72" s="520"/>
      <x:c r="K72" s="520"/>
      <x:c r="L72" s="520"/>
      <x:c r="M72" s="520"/>
      <x:c r="N72" s="520"/>
      <x:c r="O72" s="520"/>
      <x:c r="P72" s="520"/>
      <x:c r="Q72" s="520"/>
      <x:c r="R72" s="520"/>
      <x:c r="S72" s="520"/>
      <x:c r="T72" s="520"/>
      <x:c r="U72" s="520"/>
      <x:c r="V72" s="520"/>
      <x:c r="W72" s="520"/>
      <x:c r="X72" s="520"/>
      <x:c r="Y72" s="520"/>
      <x:c r="Z72" s="520"/>
      <x:c r="AA72" s="520"/>
      <x:c r="AB72" s="520"/>
      <x:c r="AC72" s="520"/>
      <x:c r="AD72" s="520"/>
      <x:c r="AE72" s="520"/>
      <x:c r="AF72" s="520"/>
      <x:c r="AG72" s="520"/>
      <x:c r="AH72" s="520"/>
      <x:c r="AI72" s="520"/>
      <x:c r="AJ72" s="520"/>
      <x:c r="AK72" s="520"/>
      <x:c r="AL72" s="520"/>
      <x:c r="AM72" s="520"/>
      <x:c r="AN72" s="520"/>
      <x:c r="AO72" s="521"/>
    </x:row>
    <x:row r="73" ht="19" customHeight="1">
      <x:c r="B73" s="510" t="str">
        <x:f>IF('CADASTRO DE LOJAS'!E75="SIM",'CADASTRO DE LOJAS'!B75,"")</x:f>
      </x:c>
      <x:c r="C73" s="520"/>
      <x:c r="D73" s="520"/>
      <x:c r="E73" s="520"/>
      <x:c r="F73" s="520"/>
      <x:c r="G73" s="520"/>
      <x:c r="H73" s="520"/>
      <x:c r="I73" s="520"/>
      <x:c r="J73" s="520"/>
      <x:c r="K73" s="520"/>
      <x:c r="L73" s="520"/>
      <x:c r="M73" s="520"/>
      <x:c r="N73" s="520"/>
      <x:c r="O73" s="520"/>
      <x:c r="P73" s="520"/>
      <x:c r="Q73" s="520"/>
      <x:c r="R73" s="520"/>
      <x:c r="S73" s="520"/>
      <x:c r="T73" s="520"/>
      <x:c r="U73" s="520"/>
      <x:c r="V73" s="520"/>
      <x:c r="W73" s="520"/>
      <x:c r="X73" s="520"/>
      <x:c r="Y73" s="520"/>
      <x:c r="Z73" s="520"/>
      <x:c r="AA73" s="520"/>
      <x:c r="AB73" s="520"/>
      <x:c r="AC73" s="520"/>
      <x:c r="AD73" s="520"/>
      <x:c r="AE73" s="520"/>
      <x:c r="AF73" s="520"/>
      <x:c r="AG73" s="520"/>
      <x:c r="AH73" s="520"/>
      <x:c r="AI73" s="520"/>
      <x:c r="AJ73" s="520"/>
      <x:c r="AK73" s="520"/>
      <x:c r="AL73" s="520"/>
      <x:c r="AM73" s="520"/>
      <x:c r="AN73" s="520"/>
      <x:c r="AO73" s="521"/>
    </x:row>
    <x:row r="74" ht="19" customHeight="1">
      <x:c r="B74" s="510" t="str">
        <x:f>IF('CADASTRO DE LOJAS'!E76="SIM",'CADASTRO DE LOJAS'!B76,"")</x:f>
      </x:c>
      <x:c r="C74" s="520"/>
      <x:c r="D74" s="520"/>
      <x:c r="E74" s="520"/>
      <x:c r="F74" s="520"/>
      <x:c r="G74" s="520"/>
      <x:c r="H74" s="520"/>
      <x:c r="I74" s="520"/>
      <x:c r="J74" s="520"/>
      <x:c r="K74" s="520"/>
      <x:c r="L74" s="520"/>
      <x:c r="M74" s="520"/>
      <x:c r="N74" s="520"/>
      <x:c r="O74" s="520"/>
      <x:c r="P74" s="520"/>
      <x:c r="Q74" s="520"/>
      <x:c r="R74" s="520"/>
      <x:c r="S74" s="520"/>
      <x:c r="T74" s="520"/>
      <x:c r="U74" s="520"/>
      <x:c r="V74" s="520"/>
      <x:c r="W74" s="520"/>
      <x:c r="X74" s="520"/>
      <x:c r="Y74" s="520"/>
      <x:c r="Z74" s="520"/>
      <x:c r="AA74" s="520"/>
      <x:c r="AB74" s="520"/>
      <x:c r="AC74" s="520"/>
      <x:c r="AD74" s="520"/>
      <x:c r="AE74" s="520"/>
      <x:c r="AF74" s="520"/>
      <x:c r="AG74" s="520"/>
      <x:c r="AH74" s="520"/>
      <x:c r="AI74" s="520"/>
      <x:c r="AJ74" s="520"/>
      <x:c r="AK74" s="520"/>
      <x:c r="AL74" s="520"/>
      <x:c r="AM74" s="520"/>
      <x:c r="AN74" s="520"/>
      <x:c r="AO74" s="521"/>
    </x:row>
    <x:row r="75" ht="19" customHeight="1">
      <x:c r="B75" s="510" t="str">
        <x:f>IF('CADASTRO DE LOJAS'!E77="SIM",'CADASTRO DE LOJAS'!B77,"")</x:f>
      </x:c>
      <x:c r="C75" s="520"/>
      <x:c r="D75" s="520"/>
      <x:c r="E75" s="520"/>
      <x:c r="F75" s="520"/>
      <x:c r="G75" s="520"/>
      <x:c r="H75" s="520"/>
      <x:c r="I75" s="520"/>
      <x:c r="J75" s="520"/>
      <x:c r="K75" s="520"/>
      <x:c r="L75" s="520"/>
      <x:c r="M75" s="520"/>
      <x:c r="N75" s="520"/>
      <x:c r="O75" s="520"/>
      <x:c r="P75" s="520"/>
      <x:c r="Q75" s="520"/>
      <x:c r="R75" s="520"/>
      <x:c r="S75" s="520"/>
      <x:c r="T75" s="520"/>
      <x:c r="U75" s="520"/>
      <x:c r="V75" s="520"/>
      <x:c r="W75" s="520"/>
      <x:c r="X75" s="520"/>
      <x:c r="Y75" s="520"/>
      <x:c r="Z75" s="520"/>
      <x:c r="AA75" s="520"/>
      <x:c r="AB75" s="520"/>
      <x:c r="AC75" s="520"/>
      <x:c r="AD75" s="520"/>
      <x:c r="AE75" s="520"/>
      <x:c r="AF75" s="520"/>
      <x:c r="AG75" s="520"/>
      <x:c r="AH75" s="520"/>
      <x:c r="AI75" s="520"/>
      <x:c r="AJ75" s="520"/>
      <x:c r="AK75" s="520"/>
      <x:c r="AL75" s="520"/>
      <x:c r="AM75" s="520"/>
      <x:c r="AN75" s="520"/>
      <x:c r="AO75" s="521"/>
    </x:row>
    <x:row r="76" ht="19" customHeight="1">
      <x:c r="B76" s="510" t="str">
        <x:f>IF('CADASTRO DE LOJAS'!E78="SIM",'CADASTRO DE LOJAS'!B78,"")</x:f>
      </x:c>
      <x:c r="C76" s="520"/>
      <x:c r="D76" s="520"/>
      <x:c r="E76" s="520"/>
      <x:c r="F76" s="520"/>
      <x:c r="G76" s="520"/>
      <x:c r="H76" s="520"/>
      <x:c r="I76" s="520"/>
      <x:c r="J76" s="520"/>
      <x:c r="K76" s="520"/>
      <x:c r="L76" s="520"/>
      <x:c r="M76" s="520"/>
      <x:c r="N76" s="520"/>
      <x:c r="O76" s="520"/>
      <x:c r="P76" s="520"/>
      <x:c r="Q76" s="520"/>
      <x:c r="R76" s="520"/>
      <x:c r="S76" s="520"/>
      <x:c r="T76" s="520"/>
      <x:c r="U76" s="520"/>
      <x:c r="V76" s="520"/>
      <x:c r="W76" s="520"/>
      <x:c r="X76" s="520"/>
      <x:c r="Y76" s="520"/>
      <x:c r="Z76" s="520"/>
      <x:c r="AA76" s="520"/>
      <x:c r="AB76" s="520"/>
      <x:c r="AC76" s="520"/>
      <x:c r="AD76" s="520"/>
      <x:c r="AE76" s="520"/>
      <x:c r="AF76" s="520"/>
      <x:c r="AG76" s="520"/>
      <x:c r="AH76" s="520"/>
      <x:c r="AI76" s="520"/>
      <x:c r="AJ76" s="520"/>
      <x:c r="AK76" s="520"/>
      <x:c r="AL76" s="520"/>
      <x:c r="AM76" s="520"/>
      <x:c r="AN76" s="520"/>
      <x:c r="AO76" s="521"/>
    </x:row>
    <x:row r="77" ht="19" customHeight="1">
      <x:c r="B77" s="510" t="str">
        <x:f>IF('CADASTRO DE LOJAS'!E79="SIM",'CADASTRO DE LOJAS'!B79,"")</x:f>
      </x:c>
      <x:c r="C77" s="520"/>
      <x:c r="D77" s="520"/>
      <x:c r="E77" s="520"/>
      <x:c r="F77" s="520"/>
      <x:c r="G77" s="520"/>
      <x:c r="H77" s="520"/>
      <x:c r="I77" s="520"/>
      <x:c r="J77" s="520"/>
      <x:c r="K77" s="520"/>
      <x:c r="L77" s="520"/>
      <x:c r="M77" s="520"/>
      <x:c r="N77" s="520"/>
      <x:c r="O77" s="520"/>
      <x:c r="P77" s="520"/>
      <x:c r="Q77" s="520"/>
      <x:c r="R77" s="520"/>
      <x:c r="S77" s="520"/>
      <x:c r="T77" s="520"/>
      <x:c r="U77" s="520"/>
      <x:c r="V77" s="520"/>
      <x:c r="W77" s="520"/>
      <x:c r="X77" s="520"/>
      <x:c r="Y77" s="520"/>
      <x:c r="Z77" s="520"/>
      <x:c r="AA77" s="520"/>
      <x:c r="AB77" s="520"/>
      <x:c r="AC77" s="520"/>
      <x:c r="AD77" s="520"/>
      <x:c r="AE77" s="520"/>
      <x:c r="AF77" s="520"/>
      <x:c r="AG77" s="520"/>
      <x:c r="AH77" s="520"/>
      <x:c r="AI77" s="520"/>
      <x:c r="AJ77" s="520"/>
      <x:c r="AK77" s="520"/>
      <x:c r="AL77" s="520"/>
      <x:c r="AM77" s="520"/>
      <x:c r="AN77" s="520"/>
      <x:c r="AO77" s="521"/>
    </x:row>
    <x:row r="78" ht="19" customHeight="1">
      <x:c r="B78" s="510" t="str">
        <x:f>IF('CADASTRO DE LOJAS'!E80="SIM",'CADASTRO DE LOJAS'!B80,"")</x:f>
      </x:c>
      <x:c r="C78" s="520"/>
      <x:c r="D78" s="520"/>
      <x:c r="E78" s="520"/>
      <x:c r="F78" s="520"/>
      <x:c r="G78" s="520"/>
      <x:c r="H78" s="520"/>
      <x:c r="I78" s="520"/>
      <x:c r="J78" s="520"/>
      <x:c r="K78" s="520"/>
      <x:c r="L78" s="520"/>
      <x:c r="M78" s="520"/>
      <x:c r="N78" s="520"/>
      <x:c r="O78" s="520"/>
      <x:c r="P78" s="520"/>
      <x:c r="Q78" s="520"/>
      <x:c r="R78" s="520"/>
      <x:c r="S78" s="520"/>
      <x:c r="T78" s="520"/>
      <x:c r="U78" s="520"/>
      <x:c r="V78" s="520"/>
      <x:c r="W78" s="520"/>
      <x:c r="X78" s="520"/>
      <x:c r="Y78" s="520"/>
      <x:c r="Z78" s="520"/>
      <x:c r="AA78" s="520"/>
      <x:c r="AB78" s="520"/>
      <x:c r="AC78" s="520"/>
      <x:c r="AD78" s="520"/>
      <x:c r="AE78" s="520"/>
      <x:c r="AF78" s="520"/>
      <x:c r="AG78" s="520"/>
      <x:c r="AH78" s="520"/>
      <x:c r="AI78" s="520"/>
      <x:c r="AJ78" s="520"/>
      <x:c r="AK78" s="520"/>
      <x:c r="AL78" s="520"/>
      <x:c r="AM78" s="520"/>
      <x:c r="AN78" s="520"/>
      <x:c r="AO78" s="521"/>
    </x:row>
    <x:row r="79" ht="19" customHeight="1">
      <x:c r="B79" s="510" t="str">
        <x:f>IF('CADASTRO DE LOJAS'!E81="SIM",'CADASTRO DE LOJAS'!B81,"")</x:f>
      </x:c>
      <x:c r="C79" s="520"/>
      <x:c r="D79" s="520"/>
      <x:c r="E79" s="520"/>
      <x:c r="F79" s="520"/>
      <x:c r="G79" s="520"/>
      <x:c r="H79" s="520"/>
      <x:c r="I79" s="520"/>
      <x:c r="J79" s="520"/>
      <x:c r="K79" s="520"/>
      <x:c r="L79" s="520"/>
      <x:c r="M79" s="520"/>
      <x:c r="N79" s="520"/>
      <x:c r="O79" s="520"/>
      <x:c r="P79" s="520"/>
      <x:c r="Q79" s="520"/>
      <x:c r="R79" s="520"/>
      <x:c r="S79" s="520"/>
      <x:c r="T79" s="520"/>
      <x:c r="U79" s="520"/>
      <x:c r="V79" s="520"/>
      <x:c r="W79" s="520"/>
      <x:c r="X79" s="520"/>
      <x:c r="Y79" s="520"/>
      <x:c r="Z79" s="520"/>
      <x:c r="AA79" s="520"/>
      <x:c r="AB79" s="520"/>
      <x:c r="AC79" s="520"/>
      <x:c r="AD79" s="520"/>
      <x:c r="AE79" s="520"/>
      <x:c r="AF79" s="520"/>
      <x:c r="AG79" s="520"/>
      <x:c r="AH79" s="520"/>
      <x:c r="AI79" s="520"/>
      <x:c r="AJ79" s="520"/>
      <x:c r="AK79" s="520"/>
      <x:c r="AL79" s="520"/>
      <x:c r="AM79" s="520"/>
      <x:c r="AN79" s="520"/>
      <x:c r="AO79" s="521"/>
    </x:row>
    <x:row r="80" ht="19" customHeight="1">
      <x:c r="B80" s="510" t="str">
        <x:f>IF('CADASTRO DE LOJAS'!E82="SIM",'CADASTRO DE LOJAS'!B82,"")</x:f>
      </x:c>
      <x:c r="C80" s="520"/>
      <x:c r="D80" s="520"/>
      <x:c r="E80" s="520"/>
      <x:c r="F80" s="520"/>
      <x:c r="G80" s="520"/>
      <x:c r="H80" s="520"/>
      <x:c r="I80" s="520"/>
      <x:c r="J80" s="520"/>
      <x:c r="K80" s="520"/>
      <x:c r="L80" s="520"/>
      <x:c r="M80" s="520"/>
      <x:c r="N80" s="520"/>
      <x:c r="O80" s="520"/>
      <x:c r="P80" s="520"/>
      <x:c r="Q80" s="520"/>
      <x:c r="R80" s="520"/>
      <x:c r="S80" s="520"/>
      <x:c r="T80" s="520"/>
      <x:c r="U80" s="520"/>
      <x:c r="V80" s="520"/>
      <x:c r="W80" s="520"/>
      <x:c r="X80" s="520"/>
      <x:c r="Y80" s="520"/>
      <x:c r="Z80" s="520"/>
      <x:c r="AA80" s="520"/>
      <x:c r="AB80" s="520"/>
      <x:c r="AC80" s="520"/>
      <x:c r="AD80" s="520"/>
      <x:c r="AE80" s="520"/>
      <x:c r="AF80" s="520"/>
      <x:c r="AG80" s="520"/>
      <x:c r="AH80" s="520"/>
      <x:c r="AI80" s="520"/>
      <x:c r="AJ80" s="520"/>
      <x:c r="AK80" s="520"/>
      <x:c r="AL80" s="520"/>
      <x:c r="AM80" s="520"/>
      <x:c r="AN80" s="520"/>
      <x:c r="AO80" s="521"/>
    </x:row>
    <x:row r="81" ht="19" customHeight="1">
      <x:c r="B81" s="510" t="str">
        <x:f>IF('CADASTRO DE LOJAS'!E83="SIM",'CADASTRO DE LOJAS'!B83,"")</x:f>
      </x:c>
      <x:c r="C81" s="520"/>
      <x:c r="D81" s="520"/>
      <x:c r="E81" s="520"/>
      <x:c r="F81" s="520"/>
      <x:c r="G81" s="520"/>
      <x:c r="H81" s="520"/>
      <x:c r="I81" s="520"/>
      <x:c r="J81" s="520"/>
      <x:c r="K81" s="520"/>
      <x:c r="L81" s="520"/>
      <x:c r="M81" s="520"/>
      <x:c r="N81" s="520"/>
      <x:c r="O81" s="520"/>
      <x:c r="P81" s="520"/>
      <x:c r="Q81" s="520"/>
      <x:c r="R81" s="520"/>
      <x:c r="S81" s="520"/>
      <x:c r="T81" s="520"/>
      <x:c r="U81" s="520"/>
      <x:c r="V81" s="520"/>
      <x:c r="W81" s="520"/>
      <x:c r="X81" s="520"/>
      <x:c r="Y81" s="520"/>
      <x:c r="Z81" s="520"/>
      <x:c r="AA81" s="520"/>
      <x:c r="AB81" s="520"/>
      <x:c r="AC81" s="520"/>
      <x:c r="AD81" s="520"/>
      <x:c r="AE81" s="520"/>
      <x:c r="AF81" s="520"/>
      <x:c r="AG81" s="520"/>
      <x:c r="AH81" s="520"/>
      <x:c r="AI81" s="520"/>
      <x:c r="AJ81" s="520"/>
      <x:c r="AK81" s="520"/>
      <x:c r="AL81" s="520"/>
      <x:c r="AM81" s="520"/>
      <x:c r="AN81" s="520"/>
      <x:c r="AO81" s="521"/>
    </x:row>
    <x:row r="82" ht="19" customHeight="1">
      <x:c r="B82" s="510" t="str">
        <x:f>IF('CADASTRO DE LOJAS'!E84="SIM",'CADASTRO DE LOJAS'!B84,"")</x:f>
      </x:c>
      <x:c r="C82" s="520"/>
      <x:c r="D82" s="520"/>
      <x:c r="E82" s="520"/>
      <x:c r="F82" s="520"/>
      <x:c r="G82" s="520"/>
      <x:c r="H82" s="520"/>
      <x:c r="I82" s="520"/>
      <x:c r="J82" s="520"/>
      <x:c r="K82" s="520"/>
      <x:c r="L82" s="520"/>
      <x:c r="M82" s="520"/>
      <x:c r="N82" s="520"/>
      <x:c r="O82" s="520"/>
      <x:c r="P82" s="520"/>
      <x:c r="Q82" s="520"/>
      <x:c r="R82" s="520"/>
      <x:c r="S82" s="520"/>
      <x:c r="T82" s="520"/>
      <x:c r="U82" s="520"/>
      <x:c r="V82" s="520"/>
      <x:c r="W82" s="520"/>
      <x:c r="X82" s="520"/>
      <x:c r="Y82" s="520"/>
      <x:c r="Z82" s="520"/>
      <x:c r="AA82" s="520"/>
      <x:c r="AB82" s="520"/>
      <x:c r="AC82" s="520"/>
      <x:c r="AD82" s="520"/>
      <x:c r="AE82" s="520"/>
      <x:c r="AF82" s="520"/>
      <x:c r="AG82" s="520"/>
      <x:c r="AH82" s="520"/>
      <x:c r="AI82" s="520"/>
      <x:c r="AJ82" s="520"/>
      <x:c r="AK82" s="520"/>
      <x:c r="AL82" s="520"/>
      <x:c r="AM82" s="520"/>
      <x:c r="AN82" s="520"/>
      <x:c r="AO82" s="521"/>
    </x:row>
    <x:row r="83" ht="19" customHeight="1">
      <x:c r="B83" s="510" t="str">
        <x:f>IF('CADASTRO DE LOJAS'!E85="SIM",'CADASTRO DE LOJAS'!B85,"")</x:f>
      </x:c>
      <x:c r="C83" s="520"/>
      <x:c r="D83" s="520"/>
      <x:c r="E83" s="520"/>
      <x:c r="F83" s="520"/>
      <x:c r="G83" s="520"/>
      <x:c r="H83" s="520"/>
      <x:c r="I83" s="520"/>
      <x:c r="J83" s="520"/>
      <x:c r="K83" s="520"/>
      <x:c r="L83" s="520"/>
      <x:c r="M83" s="520"/>
      <x:c r="N83" s="520"/>
      <x:c r="O83" s="520"/>
      <x:c r="P83" s="520"/>
      <x:c r="Q83" s="520"/>
      <x:c r="R83" s="520"/>
      <x:c r="S83" s="520"/>
      <x:c r="T83" s="520"/>
      <x:c r="U83" s="520"/>
      <x:c r="V83" s="520"/>
      <x:c r="W83" s="520"/>
      <x:c r="X83" s="520"/>
      <x:c r="Y83" s="520"/>
      <x:c r="Z83" s="520"/>
      <x:c r="AA83" s="520"/>
      <x:c r="AB83" s="520"/>
      <x:c r="AC83" s="520"/>
      <x:c r="AD83" s="520"/>
      <x:c r="AE83" s="520"/>
      <x:c r="AF83" s="520"/>
      <x:c r="AG83" s="520"/>
      <x:c r="AH83" s="520"/>
      <x:c r="AI83" s="520"/>
      <x:c r="AJ83" s="520"/>
      <x:c r="AK83" s="520"/>
      <x:c r="AL83" s="520"/>
      <x:c r="AM83" s="520"/>
      <x:c r="AN83" s="520"/>
      <x:c r="AO83" s="521"/>
    </x:row>
    <x:row r="84" ht="19" customHeight="1">
      <x:c r="B84" s="510" t="str">
        <x:f>IF('CADASTRO DE LOJAS'!E86="SIM",'CADASTRO DE LOJAS'!B86,"")</x:f>
      </x:c>
      <x:c r="C84" s="520"/>
      <x:c r="D84" s="520"/>
      <x:c r="E84" s="520"/>
      <x:c r="F84" s="520"/>
      <x:c r="G84" s="520"/>
      <x:c r="H84" s="520"/>
      <x:c r="I84" s="520"/>
      <x:c r="J84" s="520"/>
      <x:c r="K84" s="520"/>
      <x:c r="L84" s="520"/>
      <x:c r="M84" s="520"/>
      <x:c r="N84" s="520"/>
      <x:c r="O84" s="520"/>
      <x:c r="P84" s="520"/>
      <x:c r="Q84" s="520"/>
      <x:c r="R84" s="520"/>
      <x:c r="S84" s="520"/>
      <x:c r="T84" s="520"/>
      <x:c r="U84" s="520"/>
      <x:c r="V84" s="520"/>
      <x:c r="W84" s="520"/>
      <x:c r="X84" s="520"/>
      <x:c r="Y84" s="520"/>
      <x:c r="Z84" s="520"/>
      <x:c r="AA84" s="520"/>
      <x:c r="AB84" s="520"/>
      <x:c r="AC84" s="520"/>
      <x:c r="AD84" s="520"/>
      <x:c r="AE84" s="520"/>
      <x:c r="AF84" s="520"/>
      <x:c r="AG84" s="520"/>
      <x:c r="AH84" s="520"/>
      <x:c r="AI84" s="520"/>
      <x:c r="AJ84" s="520"/>
      <x:c r="AK84" s="520"/>
      <x:c r="AL84" s="520"/>
      <x:c r="AM84" s="520"/>
      <x:c r="AN84" s="520"/>
      <x:c r="AO84" s="521"/>
    </x:row>
    <x:row r="85" ht="19" customHeight="1">
      <x:c r="B85" s="510" t="str">
        <x:f>IF('CADASTRO DE LOJAS'!E87="SIM",'CADASTRO DE LOJAS'!B87,"")</x:f>
      </x:c>
      <x:c r="C85" s="520"/>
      <x:c r="D85" s="520"/>
      <x:c r="E85" s="520"/>
      <x:c r="F85" s="520"/>
      <x:c r="G85" s="520"/>
      <x:c r="H85" s="520"/>
      <x:c r="I85" s="520"/>
      <x:c r="J85" s="520"/>
      <x:c r="K85" s="520"/>
      <x:c r="L85" s="520"/>
      <x:c r="M85" s="520"/>
      <x:c r="N85" s="520"/>
      <x:c r="O85" s="520"/>
      <x:c r="P85" s="520"/>
      <x:c r="Q85" s="520"/>
      <x:c r="R85" s="520"/>
      <x:c r="S85" s="520"/>
      <x:c r="T85" s="520"/>
      <x:c r="U85" s="520"/>
      <x:c r="V85" s="520"/>
      <x:c r="W85" s="520"/>
      <x:c r="X85" s="520"/>
      <x:c r="Y85" s="520"/>
      <x:c r="Z85" s="520"/>
      <x:c r="AA85" s="520"/>
      <x:c r="AB85" s="520"/>
      <x:c r="AC85" s="520"/>
      <x:c r="AD85" s="520"/>
      <x:c r="AE85" s="520"/>
      <x:c r="AF85" s="520"/>
      <x:c r="AG85" s="520"/>
      <x:c r="AH85" s="520"/>
      <x:c r="AI85" s="520"/>
      <x:c r="AJ85" s="520"/>
      <x:c r="AK85" s="520"/>
      <x:c r="AL85" s="520"/>
      <x:c r="AM85" s="520"/>
      <x:c r="AN85" s="520"/>
      <x:c r="AO85" s="521"/>
    </x:row>
    <x:row r="86" ht="19" customHeight="1">
      <x:c r="B86" s="510" t="str">
        <x:f>IF('CADASTRO DE LOJAS'!E88="SIM",'CADASTRO DE LOJAS'!B88,"")</x:f>
      </x:c>
      <x:c r="C86" s="520"/>
      <x:c r="D86" s="520"/>
      <x:c r="E86" s="520"/>
      <x:c r="F86" s="520"/>
      <x:c r="G86" s="520"/>
      <x:c r="H86" s="520"/>
      <x:c r="I86" s="520"/>
      <x:c r="J86" s="520"/>
      <x:c r="K86" s="520"/>
      <x:c r="L86" s="520"/>
      <x:c r="M86" s="520"/>
      <x:c r="N86" s="520"/>
      <x:c r="O86" s="520"/>
      <x:c r="P86" s="520"/>
      <x:c r="Q86" s="520"/>
      <x:c r="R86" s="520"/>
      <x:c r="S86" s="520"/>
      <x:c r="T86" s="520"/>
      <x:c r="U86" s="520"/>
      <x:c r="V86" s="520"/>
      <x:c r="W86" s="520"/>
      <x:c r="X86" s="520"/>
      <x:c r="Y86" s="520"/>
      <x:c r="Z86" s="520"/>
      <x:c r="AA86" s="520"/>
      <x:c r="AB86" s="520"/>
      <x:c r="AC86" s="520"/>
      <x:c r="AD86" s="520"/>
      <x:c r="AE86" s="520"/>
      <x:c r="AF86" s="520"/>
      <x:c r="AG86" s="520"/>
      <x:c r="AH86" s="520"/>
      <x:c r="AI86" s="520"/>
      <x:c r="AJ86" s="520"/>
      <x:c r="AK86" s="520"/>
      <x:c r="AL86" s="520"/>
      <x:c r="AM86" s="520"/>
      <x:c r="AN86" s="520"/>
      <x:c r="AO86" s="521"/>
    </x:row>
    <x:row r="87" ht="19" customHeight="1">
      <x:c r="B87" s="510" t="str">
        <x:f>IF('CADASTRO DE LOJAS'!E89="SIM",'CADASTRO DE LOJAS'!B89,"")</x:f>
      </x:c>
      <x:c r="C87" s="520"/>
      <x:c r="D87" s="520"/>
      <x:c r="E87" s="520"/>
      <x:c r="F87" s="520"/>
      <x:c r="G87" s="520"/>
      <x:c r="H87" s="520"/>
      <x:c r="I87" s="520"/>
      <x:c r="J87" s="520"/>
      <x:c r="K87" s="520"/>
      <x:c r="L87" s="520"/>
      <x:c r="M87" s="520"/>
      <x:c r="N87" s="520"/>
      <x:c r="O87" s="520"/>
      <x:c r="P87" s="520"/>
      <x:c r="Q87" s="520"/>
      <x:c r="R87" s="520"/>
      <x:c r="S87" s="520"/>
      <x:c r="T87" s="520"/>
      <x:c r="U87" s="520"/>
      <x:c r="V87" s="520"/>
      <x:c r="W87" s="520"/>
      <x:c r="X87" s="520"/>
      <x:c r="Y87" s="520"/>
      <x:c r="Z87" s="520"/>
      <x:c r="AA87" s="520"/>
      <x:c r="AB87" s="520"/>
      <x:c r="AC87" s="520"/>
      <x:c r="AD87" s="520"/>
      <x:c r="AE87" s="520"/>
      <x:c r="AF87" s="520"/>
      <x:c r="AG87" s="520"/>
      <x:c r="AH87" s="520"/>
      <x:c r="AI87" s="520"/>
      <x:c r="AJ87" s="520"/>
      <x:c r="AK87" s="520"/>
      <x:c r="AL87" s="520"/>
      <x:c r="AM87" s="520"/>
      <x:c r="AN87" s="520"/>
      <x:c r="AO87" s="521"/>
    </x:row>
    <x:row r="88" ht="19" customHeight="1">
      <x:c r="B88" s="510" t="str">
        <x:f>IF('CADASTRO DE LOJAS'!E90="SIM",'CADASTRO DE LOJAS'!B90,"")</x:f>
      </x:c>
      <x:c r="C88" s="520"/>
      <x:c r="D88" s="520"/>
      <x:c r="E88" s="520"/>
      <x:c r="F88" s="520"/>
      <x:c r="G88" s="520"/>
      <x:c r="H88" s="520"/>
      <x:c r="I88" s="520"/>
      <x:c r="J88" s="520"/>
      <x:c r="K88" s="520"/>
      <x:c r="L88" s="520"/>
      <x:c r="M88" s="520"/>
      <x:c r="N88" s="520"/>
      <x:c r="O88" s="520"/>
      <x:c r="P88" s="520"/>
      <x:c r="Q88" s="520"/>
      <x:c r="R88" s="520"/>
      <x:c r="S88" s="520"/>
      <x:c r="T88" s="520"/>
      <x:c r="U88" s="520"/>
      <x:c r="V88" s="520"/>
      <x:c r="W88" s="520"/>
      <x:c r="X88" s="520"/>
      <x:c r="Y88" s="520"/>
      <x:c r="Z88" s="520"/>
      <x:c r="AA88" s="520"/>
      <x:c r="AB88" s="520"/>
      <x:c r="AC88" s="520"/>
      <x:c r="AD88" s="520"/>
      <x:c r="AE88" s="520"/>
      <x:c r="AF88" s="520"/>
      <x:c r="AG88" s="520"/>
      <x:c r="AH88" s="520"/>
      <x:c r="AI88" s="520"/>
      <x:c r="AJ88" s="520"/>
      <x:c r="AK88" s="520"/>
      <x:c r="AL88" s="520"/>
      <x:c r="AM88" s="520"/>
      <x:c r="AN88" s="520"/>
      <x:c r="AO88" s="521"/>
    </x:row>
    <x:row r="89" ht="19" customHeight="1">
      <x:c r="B89" s="510" t="str">
        <x:f>IF('CADASTRO DE LOJAS'!E91="SIM",'CADASTRO DE LOJAS'!B91,"")</x:f>
      </x:c>
      <x:c r="C89" s="520"/>
      <x:c r="D89" s="520"/>
      <x:c r="E89" s="520"/>
      <x:c r="F89" s="520"/>
      <x:c r="G89" s="520"/>
      <x:c r="H89" s="520"/>
      <x:c r="I89" s="520"/>
      <x:c r="J89" s="520"/>
      <x:c r="K89" s="520"/>
      <x:c r="L89" s="520"/>
      <x:c r="M89" s="520"/>
      <x:c r="N89" s="520"/>
      <x:c r="O89" s="520"/>
      <x:c r="P89" s="520"/>
      <x:c r="Q89" s="520"/>
      <x:c r="R89" s="520"/>
      <x:c r="S89" s="520"/>
      <x:c r="T89" s="520"/>
      <x:c r="U89" s="520"/>
      <x:c r="V89" s="520"/>
      <x:c r="W89" s="520"/>
      <x:c r="X89" s="520"/>
      <x:c r="Y89" s="520"/>
      <x:c r="Z89" s="520"/>
      <x:c r="AA89" s="520"/>
      <x:c r="AB89" s="520"/>
      <x:c r="AC89" s="520"/>
      <x:c r="AD89" s="520"/>
      <x:c r="AE89" s="520"/>
      <x:c r="AF89" s="520"/>
      <x:c r="AG89" s="520"/>
      <x:c r="AH89" s="520"/>
      <x:c r="AI89" s="520"/>
      <x:c r="AJ89" s="520"/>
      <x:c r="AK89" s="520"/>
      <x:c r="AL89" s="520"/>
      <x:c r="AM89" s="520"/>
      <x:c r="AN89" s="520"/>
      <x:c r="AO89" s="521"/>
    </x:row>
    <x:row r="90" ht="19" customHeight="1">
      <x:c r="B90" s="510" t="str">
        <x:f>IF('CADASTRO DE LOJAS'!E92="SIM",'CADASTRO DE LOJAS'!B92,"")</x:f>
      </x:c>
      <x:c r="C90" s="520"/>
      <x:c r="D90" s="520"/>
      <x:c r="E90" s="520"/>
      <x:c r="F90" s="520"/>
      <x:c r="G90" s="520"/>
      <x:c r="H90" s="520"/>
      <x:c r="I90" s="520"/>
      <x:c r="J90" s="520"/>
      <x:c r="K90" s="520"/>
      <x:c r="L90" s="520"/>
      <x:c r="M90" s="520"/>
      <x:c r="N90" s="520"/>
      <x:c r="O90" s="520"/>
      <x:c r="P90" s="520"/>
      <x:c r="Q90" s="520"/>
      <x:c r="R90" s="520"/>
      <x:c r="S90" s="520"/>
      <x:c r="T90" s="520"/>
      <x:c r="U90" s="520"/>
      <x:c r="V90" s="520"/>
      <x:c r="W90" s="520"/>
      <x:c r="X90" s="520"/>
      <x:c r="Y90" s="520"/>
      <x:c r="Z90" s="520"/>
      <x:c r="AA90" s="520"/>
      <x:c r="AB90" s="520"/>
      <x:c r="AC90" s="520"/>
      <x:c r="AD90" s="520"/>
      <x:c r="AE90" s="520"/>
      <x:c r="AF90" s="520"/>
      <x:c r="AG90" s="520"/>
      <x:c r="AH90" s="520"/>
      <x:c r="AI90" s="520"/>
      <x:c r="AJ90" s="520"/>
      <x:c r="AK90" s="520"/>
      <x:c r="AL90" s="520"/>
      <x:c r="AM90" s="520"/>
      <x:c r="AN90" s="520"/>
      <x:c r="AO90" s="521"/>
    </x:row>
    <x:row r="91" ht="19" customHeight="1">
      <x:c r="B91" s="510" t="str">
        <x:f>IF('CADASTRO DE LOJAS'!E93="SIM",'CADASTRO DE LOJAS'!B93,"")</x:f>
      </x:c>
      <x:c r="C91" s="520"/>
      <x:c r="D91" s="520"/>
      <x:c r="E91" s="520"/>
      <x:c r="F91" s="520"/>
      <x:c r="G91" s="520"/>
      <x:c r="H91" s="520"/>
      <x:c r="I91" s="520"/>
      <x:c r="J91" s="520"/>
      <x:c r="K91" s="520"/>
      <x:c r="L91" s="520"/>
      <x:c r="M91" s="520"/>
      <x:c r="N91" s="520"/>
      <x:c r="O91" s="520"/>
      <x:c r="P91" s="520"/>
      <x:c r="Q91" s="520"/>
      <x:c r="R91" s="520"/>
      <x:c r="S91" s="520"/>
      <x:c r="T91" s="520"/>
      <x:c r="U91" s="520"/>
      <x:c r="V91" s="520"/>
      <x:c r="W91" s="520"/>
      <x:c r="X91" s="520"/>
      <x:c r="Y91" s="520"/>
      <x:c r="Z91" s="520"/>
      <x:c r="AA91" s="520"/>
      <x:c r="AB91" s="520"/>
      <x:c r="AC91" s="520"/>
      <x:c r="AD91" s="520"/>
      <x:c r="AE91" s="520"/>
      <x:c r="AF91" s="520"/>
      <x:c r="AG91" s="520"/>
      <x:c r="AH91" s="520"/>
      <x:c r="AI91" s="520"/>
      <x:c r="AJ91" s="520"/>
      <x:c r="AK91" s="520"/>
      <x:c r="AL91" s="520"/>
      <x:c r="AM91" s="520"/>
      <x:c r="AN91" s="520"/>
      <x:c r="AO91" s="521"/>
    </x:row>
    <x:row r="92" ht="19" customHeight="1">
      <x:c r="B92" s="510" t="str">
        <x:f>IF('CADASTRO DE LOJAS'!E94="SIM",'CADASTRO DE LOJAS'!B94,"")</x:f>
      </x:c>
      <x:c r="C92" s="520"/>
      <x:c r="D92" s="520"/>
      <x:c r="E92" s="520"/>
      <x:c r="F92" s="520"/>
      <x:c r="G92" s="520"/>
      <x:c r="H92" s="520"/>
      <x:c r="I92" s="520"/>
      <x:c r="J92" s="520"/>
      <x:c r="K92" s="520"/>
      <x:c r="L92" s="520"/>
      <x:c r="M92" s="520"/>
      <x:c r="N92" s="520"/>
      <x:c r="O92" s="520"/>
      <x:c r="P92" s="520"/>
      <x:c r="Q92" s="520"/>
      <x:c r="R92" s="520"/>
      <x:c r="S92" s="520"/>
      <x:c r="T92" s="520"/>
      <x:c r="U92" s="520"/>
      <x:c r="V92" s="520"/>
      <x:c r="W92" s="520"/>
      <x:c r="X92" s="520"/>
      <x:c r="Y92" s="520"/>
      <x:c r="Z92" s="520"/>
      <x:c r="AA92" s="520"/>
      <x:c r="AB92" s="520"/>
      <x:c r="AC92" s="520"/>
      <x:c r="AD92" s="520"/>
      <x:c r="AE92" s="520"/>
      <x:c r="AF92" s="520"/>
      <x:c r="AG92" s="520"/>
      <x:c r="AH92" s="520"/>
      <x:c r="AI92" s="520"/>
      <x:c r="AJ92" s="520"/>
      <x:c r="AK92" s="520"/>
      <x:c r="AL92" s="520"/>
      <x:c r="AM92" s="520"/>
      <x:c r="AN92" s="520"/>
      <x:c r="AO92" s="521"/>
    </x:row>
    <x:row r="93" ht="19" customHeight="1">
      <x:c r="B93" s="510" t="str">
        <x:f>IF('CADASTRO DE LOJAS'!E95="SIM",'CADASTRO DE LOJAS'!B95,"")</x:f>
      </x:c>
      <x:c r="C93" s="520"/>
      <x:c r="D93" s="520"/>
      <x:c r="E93" s="520"/>
      <x:c r="F93" s="520"/>
      <x:c r="G93" s="520"/>
      <x:c r="H93" s="520"/>
      <x:c r="I93" s="520"/>
      <x:c r="J93" s="520"/>
      <x:c r="K93" s="520"/>
      <x:c r="L93" s="520"/>
      <x:c r="M93" s="520"/>
      <x:c r="N93" s="520"/>
      <x:c r="O93" s="520"/>
      <x:c r="P93" s="520"/>
      <x:c r="Q93" s="520"/>
      <x:c r="R93" s="520"/>
      <x:c r="S93" s="520"/>
      <x:c r="T93" s="520"/>
      <x:c r="U93" s="520"/>
      <x:c r="V93" s="520"/>
      <x:c r="W93" s="520"/>
      <x:c r="X93" s="520"/>
      <x:c r="Y93" s="520"/>
      <x:c r="Z93" s="520"/>
      <x:c r="AA93" s="520"/>
      <x:c r="AB93" s="520"/>
      <x:c r="AC93" s="520"/>
      <x:c r="AD93" s="520"/>
      <x:c r="AE93" s="520"/>
      <x:c r="AF93" s="520"/>
      <x:c r="AG93" s="520"/>
      <x:c r="AH93" s="520"/>
      <x:c r="AI93" s="520"/>
      <x:c r="AJ93" s="520"/>
      <x:c r="AK93" s="520"/>
      <x:c r="AL93" s="520"/>
      <x:c r="AM93" s="520"/>
      <x:c r="AN93" s="520"/>
      <x:c r="AO93" s="521"/>
    </x:row>
    <x:row r="94" ht="19" customHeight="1">
      <x:c r="B94" s="510" t="str">
        <x:f>IF('CADASTRO DE LOJAS'!E96="SIM",'CADASTRO DE LOJAS'!B96,"")</x:f>
      </x:c>
      <x:c r="C94" s="520"/>
      <x:c r="D94" s="520"/>
      <x:c r="E94" s="520"/>
      <x:c r="F94" s="520"/>
      <x:c r="G94" s="520"/>
      <x:c r="H94" s="520"/>
      <x:c r="I94" s="520"/>
      <x:c r="J94" s="520"/>
      <x:c r="K94" s="520"/>
      <x:c r="L94" s="520"/>
      <x:c r="M94" s="520"/>
      <x:c r="N94" s="520"/>
      <x:c r="O94" s="520"/>
      <x:c r="P94" s="520"/>
      <x:c r="Q94" s="520"/>
      <x:c r="R94" s="520"/>
      <x:c r="S94" s="520"/>
      <x:c r="T94" s="520"/>
      <x:c r="U94" s="520"/>
      <x:c r="V94" s="520"/>
      <x:c r="W94" s="520"/>
      <x:c r="X94" s="520"/>
      <x:c r="Y94" s="520"/>
      <x:c r="Z94" s="520"/>
      <x:c r="AA94" s="520"/>
      <x:c r="AB94" s="520"/>
      <x:c r="AC94" s="520"/>
      <x:c r="AD94" s="520"/>
      <x:c r="AE94" s="520"/>
      <x:c r="AF94" s="520"/>
      <x:c r="AG94" s="520"/>
      <x:c r="AH94" s="520"/>
      <x:c r="AI94" s="520"/>
      <x:c r="AJ94" s="520"/>
      <x:c r="AK94" s="520"/>
      <x:c r="AL94" s="520"/>
      <x:c r="AM94" s="520"/>
      <x:c r="AN94" s="520"/>
      <x:c r="AO94" s="521"/>
    </x:row>
    <x:row r="95" ht="19" customHeight="1">
      <x:c r="B95" s="510" t="str">
        <x:f>IF('CADASTRO DE LOJAS'!E97="SIM",'CADASTRO DE LOJAS'!B97,"")</x:f>
      </x:c>
      <x:c r="C95" s="520"/>
      <x:c r="D95" s="520"/>
      <x:c r="E95" s="520"/>
      <x:c r="F95" s="520"/>
      <x:c r="G95" s="520"/>
      <x:c r="H95" s="520"/>
      <x:c r="I95" s="520"/>
      <x:c r="J95" s="520"/>
      <x:c r="K95" s="520"/>
      <x:c r="L95" s="520"/>
      <x:c r="M95" s="520"/>
      <x:c r="N95" s="520"/>
      <x:c r="O95" s="520"/>
      <x:c r="P95" s="520"/>
      <x:c r="Q95" s="520"/>
      <x:c r="R95" s="520"/>
      <x:c r="S95" s="520"/>
      <x:c r="T95" s="520"/>
      <x:c r="U95" s="520"/>
      <x:c r="V95" s="520"/>
      <x:c r="W95" s="520"/>
      <x:c r="X95" s="520"/>
      <x:c r="Y95" s="520"/>
      <x:c r="Z95" s="520"/>
      <x:c r="AA95" s="520"/>
      <x:c r="AB95" s="520"/>
      <x:c r="AC95" s="520"/>
      <x:c r="AD95" s="520"/>
      <x:c r="AE95" s="520"/>
      <x:c r="AF95" s="520"/>
      <x:c r="AG95" s="520"/>
      <x:c r="AH95" s="520"/>
      <x:c r="AI95" s="520"/>
      <x:c r="AJ95" s="520"/>
      <x:c r="AK95" s="520"/>
      <x:c r="AL95" s="520"/>
      <x:c r="AM95" s="520"/>
      <x:c r="AN95" s="520"/>
      <x:c r="AO95" s="521"/>
    </x:row>
    <x:row r="96" ht="19" customHeight="1">
      <x:c r="B96" s="510" t="str">
        <x:f>IF('CADASTRO DE LOJAS'!E98="SIM",'CADASTRO DE LOJAS'!B98,"")</x:f>
      </x:c>
      <x:c r="C96" s="520"/>
      <x:c r="D96" s="520"/>
      <x:c r="E96" s="520"/>
      <x:c r="F96" s="520"/>
      <x:c r="G96" s="520"/>
      <x:c r="H96" s="520"/>
      <x:c r="I96" s="520"/>
      <x:c r="J96" s="520"/>
      <x:c r="K96" s="520"/>
      <x:c r="L96" s="520"/>
      <x:c r="M96" s="520"/>
      <x:c r="N96" s="520"/>
      <x:c r="O96" s="520"/>
      <x:c r="P96" s="520"/>
      <x:c r="Q96" s="520"/>
      <x:c r="R96" s="520"/>
      <x:c r="S96" s="520"/>
      <x:c r="T96" s="520"/>
      <x:c r="U96" s="520"/>
      <x:c r="V96" s="520"/>
      <x:c r="W96" s="520"/>
      <x:c r="X96" s="520"/>
      <x:c r="Y96" s="520"/>
      <x:c r="Z96" s="520"/>
      <x:c r="AA96" s="520"/>
      <x:c r="AB96" s="520"/>
      <x:c r="AC96" s="520"/>
      <x:c r="AD96" s="520"/>
      <x:c r="AE96" s="520"/>
      <x:c r="AF96" s="520"/>
      <x:c r="AG96" s="520"/>
      <x:c r="AH96" s="520"/>
      <x:c r="AI96" s="520"/>
      <x:c r="AJ96" s="520"/>
      <x:c r="AK96" s="520"/>
      <x:c r="AL96" s="520"/>
      <x:c r="AM96" s="520"/>
      <x:c r="AN96" s="520"/>
      <x:c r="AO96" s="521"/>
    </x:row>
    <x:row r="97" ht="19" customHeight="1">
      <x:c r="B97" s="510" t="str">
        <x:f>IF('CADASTRO DE LOJAS'!E99="SIM",'CADASTRO DE LOJAS'!B99,"")</x:f>
      </x:c>
      <x:c r="C97" s="520"/>
      <x:c r="D97" s="520"/>
      <x:c r="E97" s="520"/>
      <x:c r="F97" s="520"/>
      <x:c r="G97" s="520"/>
      <x:c r="H97" s="520"/>
      <x:c r="I97" s="520"/>
      <x:c r="J97" s="520"/>
      <x:c r="K97" s="520"/>
      <x:c r="L97" s="520"/>
      <x:c r="M97" s="520"/>
      <x:c r="N97" s="520"/>
      <x:c r="O97" s="520"/>
      <x:c r="P97" s="520"/>
      <x:c r="Q97" s="520"/>
      <x:c r="R97" s="520"/>
      <x:c r="S97" s="520"/>
      <x:c r="T97" s="520"/>
      <x:c r="U97" s="520"/>
      <x:c r="V97" s="520"/>
      <x:c r="W97" s="520"/>
      <x:c r="X97" s="520"/>
      <x:c r="Y97" s="520"/>
      <x:c r="Z97" s="520"/>
      <x:c r="AA97" s="520"/>
      <x:c r="AB97" s="520"/>
      <x:c r="AC97" s="520"/>
      <x:c r="AD97" s="520"/>
      <x:c r="AE97" s="520"/>
      <x:c r="AF97" s="520"/>
      <x:c r="AG97" s="520"/>
      <x:c r="AH97" s="520"/>
      <x:c r="AI97" s="520"/>
      <x:c r="AJ97" s="520"/>
      <x:c r="AK97" s="520"/>
      <x:c r="AL97" s="520"/>
      <x:c r="AM97" s="520"/>
      <x:c r="AN97" s="520"/>
      <x:c r="AO97" s="521"/>
    </x:row>
    <x:row r="98" ht="19" customHeight="1">
      <x:c r="B98" s="510" t="str">
        <x:f>IF('CADASTRO DE LOJAS'!E100="SIM",'CADASTRO DE LOJAS'!B100,"")</x:f>
      </x:c>
      <x:c r="C98" s="520"/>
      <x:c r="D98" s="520"/>
      <x:c r="E98" s="520"/>
      <x:c r="F98" s="520"/>
      <x:c r="G98" s="520"/>
      <x:c r="H98" s="520"/>
      <x:c r="I98" s="520"/>
      <x:c r="J98" s="520"/>
      <x:c r="K98" s="520"/>
      <x:c r="L98" s="520"/>
      <x:c r="M98" s="520"/>
      <x:c r="N98" s="520"/>
      <x:c r="O98" s="520"/>
      <x:c r="P98" s="520"/>
      <x:c r="Q98" s="520"/>
      <x:c r="R98" s="520"/>
      <x:c r="S98" s="520"/>
      <x:c r="T98" s="520"/>
      <x:c r="U98" s="520"/>
      <x:c r="V98" s="520"/>
      <x:c r="W98" s="520"/>
      <x:c r="X98" s="520"/>
      <x:c r="Y98" s="520"/>
      <x:c r="Z98" s="520"/>
      <x:c r="AA98" s="520"/>
      <x:c r="AB98" s="520"/>
      <x:c r="AC98" s="520"/>
      <x:c r="AD98" s="520"/>
      <x:c r="AE98" s="520"/>
      <x:c r="AF98" s="520"/>
      <x:c r="AG98" s="520"/>
      <x:c r="AH98" s="520"/>
      <x:c r="AI98" s="520"/>
      <x:c r="AJ98" s="520"/>
      <x:c r="AK98" s="520"/>
      <x:c r="AL98" s="520"/>
      <x:c r="AM98" s="520"/>
      <x:c r="AN98" s="520"/>
      <x:c r="AO98" s="521"/>
    </x:row>
    <x:row r="99" ht="19" customHeight="1">
      <x:c r="B99" s="510" t="str">
        <x:f>IF('CADASTRO DE LOJAS'!E101="SIM",'CADASTRO DE LOJAS'!B101,"")</x:f>
      </x:c>
      <x:c r="C99" s="520"/>
      <x:c r="D99" s="520"/>
      <x:c r="E99" s="520"/>
      <x:c r="F99" s="520"/>
      <x:c r="G99" s="520"/>
      <x:c r="H99" s="520"/>
      <x:c r="I99" s="520"/>
      <x:c r="J99" s="520"/>
      <x:c r="K99" s="520"/>
      <x:c r="L99" s="520"/>
      <x:c r="M99" s="520"/>
      <x:c r="N99" s="520"/>
      <x:c r="O99" s="520"/>
      <x:c r="P99" s="520"/>
      <x:c r="Q99" s="520"/>
      <x:c r="R99" s="520"/>
      <x:c r="S99" s="520"/>
      <x:c r="T99" s="520"/>
      <x:c r="U99" s="520"/>
      <x:c r="V99" s="520"/>
      <x:c r="W99" s="520"/>
      <x:c r="X99" s="520"/>
      <x:c r="Y99" s="520"/>
      <x:c r="Z99" s="520"/>
      <x:c r="AA99" s="520"/>
      <x:c r="AB99" s="520"/>
      <x:c r="AC99" s="520"/>
      <x:c r="AD99" s="520"/>
      <x:c r="AE99" s="520"/>
      <x:c r="AF99" s="520"/>
      <x:c r="AG99" s="520"/>
      <x:c r="AH99" s="520"/>
      <x:c r="AI99" s="520"/>
      <x:c r="AJ99" s="520"/>
      <x:c r="AK99" s="520"/>
      <x:c r="AL99" s="520"/>
      <x:c r="AM99" s="520"/>
      <x:c r="AN99" s="520"/>
      <x:c r="AO99" s="521"/>
    </x:row>
    <x:row r="100" ht="19" customHeight="1">
      <x:c r="B100" s="510" t="str">
        <x:f>IF('CADASTRO DE LOJAS'!E102="SIM",'CADASTRO DE LOJAS'!B102,"")</x:f>
      </x:c>
      <x:c r="C100" s="520"/>
      <x:c r="D100" s="520"/>
      <x:c r="E100" s="520"/>
      <x:c r="F100" s="520"/>
      <x:c r="G100" s="520"/>
      <x:c r="H100" s="520"/>
      <x:c r="I100" s="520"/>
      <x:c r="J100" s="520"/>
      <x:c r="K100" s="520"/>
      <x:c r="L100" s="520"/>
      <x:c r="M100" s="520"/>
      <x:c r="N100" s="520"/>
      <x:c r="O100" s="520"/>
      <x:c r="P100" s="520"/>
      <x:c r="Q100" s="520"/>
      <x:c r="R100" s="520"/>
      <x:c r="S100" s="520"/>
      <x:c r="T100" s="520"/>
      <x:c r="U100" s="520"/>
      <x:c r="V100" s="520"/>
      <x:c r="W100" s="520"/>
      <x:c r="X100" s="520"/>
      <x:c r="Y100" s="520"/>
      <x:c r="Z100" s="520"/>
      <x:c r="AA100" s="520"/>
      <x:c r="AB100" s="520"/>
      <x:c r="AC100" s="520"/>
      <x:c r="AD100" s="520"/>
      <x:c r="AE100" s="520"/>
      <x:c r="AF100" s="520"/>
      <x:c r="AG100" s="520"/>
      <x:c r="AH100" s="520"/>
      <x:c r="AI100" s="520"/>
      <x:c r="AJ100" s="520"/>
      <x:c r="AK100" s="520"/>
      <x:c r="AL100" s="520"/>
      <x:c r="AM100" s="520"/>
      <x:c r="AN100" s="520"/>
      <x:c r="AO100" s="521"/>
    </x:row>
    <x:row r="101" ht="19" customHeight="1">
      <x:c r="B101" s="510" t="str">
        <x:f>IF('CADASTRO DE LOJAS'!E103="SIM",'CADASTRO DE LOJAS'!B103,"")</x:f>
      </x:c>
      <x:c r="C101" s="520"/>
      <x:c r="D101" s="520"/>
      <x:c r="E101" s="520"/>
      <x:c r="F101" s="520"/>
      <x:c r="G101" s="520"/>
      <x:c r="H101" s="520"/>
      <x:c r="I101" s="520"/>
      <x:c r="J101" s="520"/>
      <x:c r="K101" s="520"/>
      <x:c r="L101" s="520"/>
      <x:c r="M101" s="520"/>
      <x:c r="N101" s="520"/>
      <x:c r="O101" s="520"/>
      <x:c r="P101" s="520"/>
      <x:c r="Q101" s="520"/>
      <x:c r="R101" s="520"/>
      <x:c r="S101" s="520"/>
      <x:c r="T101" s="520"/>
      <x:c r="U101" s="520"/>
      <x:c r="V101" s="520"/>
      <x:c r="W101" s="520"/>
      <x:c r="X101" s="520"/>
      <x:c r="Y101" s="520"/>
      <x:c r="Z101" s="520"/>
      <x:c r="AA101" s="520"/>
      <x:c r="AB101" s="520"/>
      <x:c r="AC101" s="520"/>
      <x:c r="AD101" s="520"/>
      <x:c r="AE101" s="520"/>
      <x:c r="AF101" s="520"/>
      <x:c r="AG101" s="520"/>
      <x:c r="AH101" s="520"/>
      <x:c r="AI101" s="520"/>
      <x:c r="AJ101" s="520"/>
      <x:c r="AK101" s="520"/>
      <x:c r="AL101" s="520"/>
      <x:c r="AM101" s="520"/>
      <x:c r="AN101" s="520"/>
      <x:c r="AO101" s="521"/>
    </x:row>
    <x:row r="102" ht="19" customHeight="1">
      <x:c r="B102" s="511" t="str">
        <x:f>IF('CADASTRO DE LOJAS'!E104="SIM",'CADASTRO DE LOJAS'!B104,"")</x:f>
      </x:c>
      <x:c r="C102" s="522"/>
      <x:c r="D102" s="522"/>
      <x:c r="E102" s="522"/>
      <x:c r="F102" s="522"/>
      <x:c r="G102" s="522"/>
      <x:c r="H102" s="522"/>
      <x:c r="I102" s="522"/>
      <x:c r="J102" s="522"/>
      <x:c r="K102" s="522"/>
      <x:c r="L102" s="522"/>
      <x:c r="M102" s="522"/>
      <x:c r="N102" s="522"/>
      <x:c r="O102" s="522"/>
      <x:c r="P102" s="522"/>
      <x:c r="Q102" s="522"/>
      <x:c r="R102" s="522"/>
      <x:c r="S102" s="522"/>
      <x:c r="T102" s="522"/>
      <x:c r="U102" s="522"/>
      <x:c r="V102" s="522"/>
      <x:c r="W102" s="522"/>
      <x:c r="X102" s="522"/>
      <x:c r="Y102" s="522"/>
      <x:c r="Z102" s="522"/>
      <x:c r="AA102" s="522"/>
      <x:c r="AB102" s="522"/>
      <x:c r="AC102" s="522"/>
      <x:c r="AD102" s="522"/>
      <x:c r="AE102" s="522"/>
      <x:c r="AF102" s="522"/>
      <x:c r="AG102" s="522"/>
      <x:c r="AH102" s="522"/>
      <x:c r="AI102" s="522"/>
      <x:c r="AJ102" s="522"/>
      <x:c r="AK102" s="522"/>
      <x:c r="AL102" s="522"/>
      <x:c r="AM102" s="522"/>
      <x:c r="AN102" s="522"/>
      <x:c r="AO102" s="523"/>
    </x:row>
  </x:sheetData>
  <x:mergeCells>
    <x:mergeCell ref="A1:AO1"/>
  </x:mergeCells>
  <x:conditionalFormatting sqref="B3:AO102">
    <x:cfRule type="expression" dxfId="28" priority="1">
      <x:formula>MOD(ROW(),2)=0</x:formula>
    </x:cfRule>
  </x:conditionalFormatting>
  <x:conditionalFormatting sqref="B63:AO102">
    <x:cfRule type="expression" dxfId="29" priority="2">
      <x:formula>$B63=""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3" tint="0.74999"/>
  </x:sheetPr>
  <x:sheetFormatPr defaultRowHeight="12.75"/>
  <x:cols>
    <x:col min="1" max="1" width="2" hidden="0" customWidth="1"/>
    <x:col min="2" max="2" width="1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</x:cols>
  <x:sheetData>
    <x:row r="1">
      <x:c r="A1" s="95"/>
      <x:c r="B1" s="95"/>
      <x:c r="C1" s="95"/>
      <x:c r="D1" s="95"/>
      <x:c r="E1" s="95"/>
      <x:c r="F1" s="95"/>
      <x:c r="G1" s="95"/>
      <x:c r="H1" s="95"/>
      <x:c r="I1" s="95"/>
      <x:c r="J1" s="95"/>
      <x:c r="K1" s="95"/>
      <x:c r="L1" s="95"/>
      <x:c r="M1" s="95"/>
      <x:c r="N1" s="95"/>
      <x:c r="O1" s="95"/>
      <x:c r="P1" s="95"/>
      <x:c r="Q1" s="95"/>
      <x:c r="R1" s="95"/>
      <x:c r="S1" s="95"/>
      <x:c r="T1" s="95"/>
      <x:c r="U1" s="95"/>
      <x:c r="V1" s="95"/>
      <x:c r="W1" s="95"/>
      <x:c r="X1" s="95"/>
      <x:c r="Y1" s="95"/>
      <x:c r="Z1" s="95"/>
      <x:c r="AA1" s="95"/>
      <x:c r="AB1" s="95"/>
      <x:c r="AC1" s="95"/>
      <x:c r="AD1" s="95"/>
      <x:c r="AE1" s="95"/>
      <x:c r="AF1" s="95"/>
      <x:c r="AG1" s="95"/>
      <x:c r="AH1" s="95"/>
      <x:c r="AI1" s="95"/>
      <x:c r="AJ1" s="95"/>
      <x:c r="AK1" s="95"/>
      <x:c r="AL1" s="95"/>
      <x:c r="AM1" s="95"/>
      <x:c r="AN1" s="95"/>
      <x:c r="AO1" s="95"/>
    </x:row>
    <x:row r="2" ht="24" customHeight="1">
      <x:c r="B2" s="461"/>
      <x:c r="C2" s="463">
        <x:v>45597</x:v>
      </x:c>
      <x:c r="D2" s="463">
        <x:v>45627</x:v>
      </x:c>
      <x:c r="E2" s="463">
        <x:v>45658</x:v>
      </x:c>
      <x:c r="F2" s="463">
        <x:v>45689</x:v>
      </x:c>
      <x:c r="G2" s="463">
        <x:v>45717</x:v>
      </x:c>
      <x:c r="H2" s="463">
        <x:v>45748</x:v>
      </x:c>
      <x:c r="I2" s="463">
        <x:v>45778</x:v>
      </x:c>
      <x:c r="J2" s="463">
        <x:v>45809</x:v>
      </x:c>
      <x:c r="K2" s="463">
        <x:v>45839</x:v>
      </x:c>
      <x:c r="L2" s="463">
        <x:v>45870</x:v>
      </x:c>
      <x:c r="M2" s="463">
        <x:v>45901</x:v>
      </x:c>
      <x:c r="N2" s="463">
        <x:v>45931</x:v>
      </x:c>
      <x:c r="O2" s="463">
        <x:v>45962</x:v>
      </x:c>
      <x:c r="P2" s="463">
        <x:v>45992</x:v>
      </x:c>
      <x:c r="Q2" s="463">
        <x:v>46023</x:v>
      </x:c>
      <x:c r="R2" s="463">
        <x:v>46054</x:v>
      </x:c>
      <x:c r="S2" s="463">
        <x:v>46082</x:v>
      </x:c>
      <x:c r="T2" s="463">
        <x:v>46113</x:v>
      </x:c>
      <x:c r="U2" s="463">
        <x:v>46143</x:v>
      </x:c>
      <x:c r="V2" s="463">
        <x:v>46174</x:v>
      </x:c>
      <x:c r="W2" s="463">
        <x:v>46204</x:v>
      </x:c>
      <x:c r="X2" s="463">
        <x:v>46235</x:v>
      </x:c>
      <x:c r="Y2" s="463">
        <x:v>46266</x:v>
      </x:c>
      <x:c r="Z2" s="463">
        <x:v>46296</x:v>
      </x:c>
      <x:c r="AA2" s="463">
        <x:v>46327</x:v>
      </x:c>
      <x:c r="AB2" s="463">
        <x:v>46357</x:v>
      </x:c>
      <x:c r="AC2" s="463">
        <x:v>46388</x:v>
      </x:c>
      <x:c r="AD2" s="463">
        <x:v>46419</x:v>
      </x:c>
      <x:c r="AE2" s="463">
        <x:v>46447</x:v>
      </x:c>
      <x:c r="AF2" s="463">
        <x:v>46478</x:v>
      </x:c>
      <x:c r="AG2" s="463">
        <x:v>46508</x:v>
      </x:c>
      <x:c r="AH2" s="463">
        <x:v>46539</x:v>
      </x:c>
      <x:c r="AI2" s="463">
        <x:v>46569</x:v>
      </x:c>
      <x:c r="AJ2" s="463">
        <x:v>46600</x:v>
      </x:c>
      <x:c r="AK2" s="463">
        <x:v>46631</x:v>
      </x:c>
      <x:c r="AL2" s="463">
        <x:v>46661</x:v>
      </x:c>
      <x:c r="AM2" s="463">
        <x:v>46692</x:v>
      </x:c>
      <x:c r="AN2" s="463">
        <x:v>46722</x:v>
      </x:c>
      <x:c r="AO2" s="463">
        <x:v>46753</x:v>
      </x:c>
    </x:row>
    <x:row r="3" ht="19" customHeight="1">
      <x:c r="B3" s="509">
        <x:v>1</x:v>
      </x:c>
      <x:c r="C3" s="512">
        <x:v>178</x:v>
      </x:c>
      <x:c r="D3" s="512">
        <x:v>354</x:v>
      </x:c>
      <x:c r="E3" s="513">
        <x:v>144</x:v>
      </x:c>
      <x:c r="F3" s="513">
        <x:v>182</x:v>
      </x:c>
      <x:c r="G3" s="512">
        <x:v>44</x:v>
      </x:c>
      <x:c r="H3" s="512">
        <x:v>155</x:v>
      </x:c>
      <x:c r="I3" s="512">
        <x:v>169</x:v>
      </x:c>
      <x:c r="J3" s="512">
        <x:v>47</x:v>
      </x:c>
      <x:c r="K3" s="512">
        <x:v>43</x:v>
      </x:c>
      <x:c r="L3" s="512">
        <x:v>79</x:v>
      </x:c>
      <x:c r="M3" s="512">
        <x:v>120</x:v>
      </x:c>
      <x:c r="N3" s="512">
        <x:v>33</x:v>
      </x:c>
      <x:c r="O3" s="512">
        <x:v>50</x:v>
      </x:c>
      <x:c r="P3" s="512">
        <x:v>24</x:v>
      </x:c>
      <x:c r="Q3" s="512">
        <x:v>417</x:v>
      </x:c>
      <x:c r="R3" s="512">
        <x:v>715</x:v>
      </x:c>
      <x:c r="S3" s="512">
        <x:v>1254</x:v>
      </x:c>
      <x:c r="T3" s="512">
        <x:v>1742</x:v>
      </x:c>
      <x:c r="U3" s="512">
        <x:v>1912</x:v>
      </x:c>
      <x:c r="V3" s="512">
        <x:v>1852</x:v>
      </x:c>
      <x:c r="W3" s="512">
        <x:v>2300</x:v>
      </x:c>
      <x:c r="X3" s="512">
        <x:v>682</x:v>
      </x:c>
      <x:c r="Y3" s="512">
        <x:v>268</x:v>
      </x:c>
      <x:c r="Z3" s="512"/>
      <x:c r="AA3" s="512"/>
      <x:c r="AB3" s="512"/>
      <x:c r="AC3" s="512"/>
      <x:c r="AD3" s="512"/>
      <x:c r="AE3" s="512"/>
      <x:c r="AF3" s="512"/>
      <x:c r="AG3" s="512"/>
      <x:c r="AH3" s="512"/>
      <x:c r="AI3" s="512"/>
      <x:c r="AJ3" s="512"/>
      <x:c r="AK3" s="512"/>
      <x:c r="AL3" s="512"/>
      <x:c r="AM3" s="512"/>
      <x:c r="AN3" s="512"/>
      <x:c r="AO3" s="514"/>
    </x:row>
    <x:row r="4" ht="19" customHeight="1">
      <x:c r="B4" s="509">
        <x:v>2</x:v>
      </x:c>
      <x:c r="C4" s="512">
        <x:v>656</x:v>
      </x:c>
      <x:c r="D4" s="512">
        <x:v>1714</x:v>
      </x:c>
      <x:c r="E4" s="513">
        <x:v>3027</x:v>
      </x:c>
      <x:c r="F4" s="513">
        <x:v>3407</x:v>
      </x:c>
      <x:c r="G4" s="512">
        <x:v>2092</x:v>
      </x:c>
      <x:c r="H4" s="512">
        <x:v>2035</x:v>
      </x:c>
      <x:c r="I4" s="512">
        <x:v>696</x:v>
      </x:c>
      <x:c r="J4" s="512">
        <x:v>515</x:v>
      </x:c>
      <x:c r="K4" s="512">
        <x:v>1218</x:v>
      </x:c>
      <x:c r="L4" s="512">
        <x:v>627</x:v>
      </x:c>
      <x:c r="M4" s="512">
        <x:v>1223</x:v>
      </x:c>
      <x:c r="N4" s="512">
        <x:v>1373</x:v>
      </x:c>
      <x:c r="O4" s="512">
        <x:v>428</x:v>
      </x:c>
      <x:c r="P4" s="512">
        <x:v>647</x:v>
      </x:c>
      <x:c r="Q4" s="512">
        <x:v>575</x:v>
      </x:c>
      <x:c r="R4" s="512">
        <x:v>705</x:v>
      </x:c>
      <x:c r="S4" s="512">
        <x:v>477</x:v>
      </x:c>
      <x:c r="T4" s="512">
        <x:v>814</x:v>
      </x:c>
      <x:c r="U4" s="512">
        <x:v>766</x:v>
      </x:c>
      <x:c r="V4" s="512">
        <x:v>771</x:v>
      </x:c>
      <x:c r="W4" s="512">
        <x:v>756</x:v>
      </x:c>
      <x:c r="X4" s="512">
        <x:v>1452</x:v>
      </x:c>
      <x:c r="Y4" s="512">
        <x:v>888</x:v>
      </x:c>
      <x:c r="Z4" s="512"/>
      <x:c r="AA4" s="512"/>
      <x:c r="AB4" s="512"/>
      <x:c r="AC4" s="512"/>
      <x:c r="AD4" s="512"/>
      <x:c r="AE4" s="512"/>
      <x:c r="AF4" s="512"/>
      <x:c r="AG4" s="512"/>
      <x:c r="AH4" s="512"/>
      <x:c r="AI4" s="512"/>
      <x:c r="AJ4" s="512"/>
      <x:c r="AK4" s="512"/>
      <x:c r="AL4" s="512"/>
      <x:c r="AM4" s="512"/>
      <x:c r="AN4" s="512"/>
      <x:c r="AO4" s="514"/>
    </x:row>
    <x:row r="5" ht="19" customHeight="1">
      <x:c r="B5" s="509">
        <x:v>3</x:v>
      </x:c>
      <x:c r="C5" s="512">
        <x:v>0</x:v>
      </x:c>
      <x:c r="D5" s="512">
        <x:v>2</x:v>
      </x:c>
      <x:c r="E5" s="513">
        <x:v>11</x:v>
      </x:c>
      <x:c r="F5" s="513">
        <x:v>73</x:v>
      </x:c>
      <x:c r="G5" s="512">
        <x:v>18</x:v>
      </x:c>
      <x:c r="H5" s="512">
        <x:v>74</x:v>
      </x:c>
      <x:c r="I5" s="512">
        <x:v>64</x:v>
      </x:c>
      <x:c r="J5" s="512">
        <x:v>0</x:v>
      </x:c>
      <x:c r="K5" s="512">
        <x:v>0</x:v>
      </x:c>
      <x:c r="L5" s="512">
        <x:v>5</x:v>
      </x:c>
      <x:c r="M5" s="512">
        <x:v>16</x:v>
      </x:c>
      <x:c r="N5" s="512">
        <x:v>0</x:v>
      </x:c>
      <x:c r="O5" s="512">
        <x:v>79</x:v>
      </x:c>
      <x:c r="P5" s="512">
        <x:v>54</x:v>
      </x:c>
      <x:c r="Q5" s="512">
        <x:v>28</x:v>
      </x:c>
      <x:c r="R5" s="512">
        <x:v>99</x:v>
      </x:c>
      <x:c r="S5" s="512">
        <x:v>86</x:v>
      </x:c>
      <x:c r="T5" s="512">
        <x:v>60</x:v>
      </x:c>
      <x:c r="U5" s="512">
        <x:v>40</x:v>
      </x:c>
      <x:c r="V5" s="512">
        <x:v>33</x:v>
      </x:c>
      <x:c r="W5" s="512">
        <x:v>6</x:v>
      </x:c>
      <x:c r="X5" s="512">
        <x:v>55</x:v>
      </x:c>
      <x:c r="Y5" s="512">
        <x:v>10</x:v>
      </x:c>
      <x:c r="Z5" s="512"/>
      <x:c r="AA5" s="512"/>
      <x:c r="AB5" s="512"/>
      <x:c r="AC5" s="512"/>
      <x:c r="AD5" s="512"/>
      <x:c r="AE5" s="512"/>
      <x:c r="AF5" s="512"/>
      <x:c r="AG5" s="512"/>
      <x:c r="AH5" s="512"/>
      <x:c r="AI5" s="512"/>
      <x:c r="AJ5" s="512"/>
      <x:c r="AK5" s="512"/>
      <x:c r="AL5" s="512"/>
      <x:c r="AM5" s="512"/>
      <x:c r="AN5" s="512"/>
      <x:c r="AO5" s="514"/>
    </x:row>
    <x:row r="6" ht="19" customHeight="1">
      <x:c r="B6" s="509">
        <x:v>5</x:v>
      </x:c>
      <x:c r="C6" s="512">
        <x:v>1281</x:v>
      </x:c>
      <x:c r="D6" s="512">
        <x:v>2304</x:v>
      </x:c>
      <x:c r="E6" s="513">
        <x:v>217</x:v>
      </x:c>
      <x:c r="F6" s="513">
        <x:v>268</x:v>
      </x:c>
      <x:c r="G6" s="512">
        <x:v>111</x:v>
      </x:c>
      <x:c r="H6" s="512">
        <x:v>137</x:v>
      </x:c>
      <x:c r="I6" s="512">
        <x:v>115</x:v>
      </x:c>
      <x:c r="J6" s="512">
        <x:v>195</x:v>
      </x:c>
      <x:c r="K6" s="512">
        <x:v>691</x:v>
      </x:c>
      <x:c r="L6" s="512">
        <x:v>1275</x:v>
      </x:c>
      <x:c r="M6" s="512">
        <x:v>1280</x:v>
      </x:c>
      <x:c r="N6" s="512">
        <x:v>2527</x:v>
      </x:c>
      <x:c r="O6" s="512">
        <x:v>1369</x:v>
      </x:c>
      <x:c r="P6" s="512">
        <x:v>1437</x:v>
      </x:c>
      <x:c r="Q6" s="512">
        <x:v>902</x:v>
      </x:c>
      <x:c r="R6" s="512">
        <x:v>368</x:v>
      </x:c>
      <x:c r="S6" s="512">
        <x:v>193</x:v>
      </x:c>
      <x:c r="T6" s="512">
        <x:v>214</x:v>
      </x:c>
      <x:c r="U6" s="512">
        <x:v>161</x:v>
      </x:c>
      <x:c r="V6" s="512">
        <x:v>338</x:v>
      </x:c>
      <x:c r="W6" s="512">
        <x:v>194</x:v>
      </x:c>
      <x:c r="X6" s="512">
        <x:v>375</x:v>
      </x:c>
      <x:c r="Y6" s="512">
        <x:v>259</x:v>
      </x:c>
      <x:c r="Z6" s="512"/>
      <x:c r="AA6" s="512"/>
      <x:c r="AB6" s="512"/>
      <x:c r="AC6" s="512"/>
      <x:c r="AD6" s="512"/>
      <x:c r="AE6" s="512"/>
      <x:c r="AF6" s="512"/>
      <x:c r="AG6" s="512"/>
      <x:c r="AH6" s="512"/>
      <x:c r="AI6" s="512"/>
      <x:c r="AJ6" s="512"/>
      <x:c r="AK6" s="512"/>
      <x:c r="AL6" s="512"/>
      <x:c r="AM6" s="512"/>
      <x:c r="AN6" s="512"/>
      <x:c r="AO6" s="514"/>
    </x:row>
    <x:row r="7" ht="19" customHeight="1">
      <x:c r="B7" s="509">
        <x:v>6</x:v>
      </x:c>
      <x:c r="C7" s="512">
        <x:v>139</x:v>
      </x:c>
      <x:c r="D7" s="512">
        <x:v>63</x:v>
      </x:c>
      <x:c r="E7" s="513">
        <x:v>45</x:v>
      </x:c>
      <x:c r="F7" s="513">
        <x:v>219</x:v>
      </x:c>
      <x:c r="G7" s="512">
        <x:v>411</x:v>
      </x:c>
      <x:c r="H7" s="512">
        <x:v>95</x:v>
      </x:c>
      <x:c r="I7" s="512">
        <x:v>4</x:v>
      </x:c>
      <x:c r="J7" s="512">
        <x:v>11</x:v>
      </x:c>
      <x:c r="K7" s="512">
        <x:v>39</x:v>
      </x:c>
      <x:c r="L7" s="512">
        <x:v>54</x:v>
      </x:c>
      <x:c r="M7" s="512">
        <x:v>158</x:v>
      </x:c>
      <x:c r="N7" s="512">
        <x:v>90</x:v>
      </x:c>
      <x:c r="O7" s="512">
        <x:v>147</x:v>
      </x:c>
      <x:c r="P7" s="512">
        <x:v>54</x:v>
      </x:c>
      <x:c r="Q7" s="512">
        <x:v>45</x:v>
      </x:c>
      <x:c r="R7" s="512">
        <x:v>132</x:v>
      </x:c>
      <x:c r="S7" s="512">
        <x:v>429</x:v>
      </x:c>
      <x:c r="T7" s="512">
        <x:v>323</x:v>
      </x:c>
      <x:c r="U7" s="512">
        <x:v>220</x:v>
      </x:c>
      <x:c r="V7" s="512">
        <x:v>7</x:v>
      </x:c>
      <x:c r="W7" s="512">
        <x:v>221</x:v>
      </x:c>
      <x:c r="X7" s="512">
        <x:v>208</x:v>
      </x:c>
      <x:c r="Y7" s="512">
        <x:v>41</x:v>
      </x:c>
      <x:c r="Z7" s="512"/>
      <x:c r="AA7" s="512"/>
      <x:c r="AB7" s="512"/>
      <x:c r="AC7" s="512"/>
      <x:c r="AD7" s="512"/>
      <x:c r="AE7" s="512"/>
      <x:c r="AF7" s="512"/>
      <x:c r="AG7" s="512"/>
      <x:c r="AH7" s="512"/>
      <x:c r="AI7" s="512"/>
      <x:c r="AJ7" s="512"/>
      <x:c r="AK7" s="512"/>
      <x:c r="AL7" s="512"/>
      <x:c r="AM7" s="512"/>
      <x:c r="AN7" s="512"/>
      <x:c r="AO7" s="514"/>
    </x:row>
    <x:row r="8" ht="19" customHeight="1">
      <x:c r="B8" s="509">
        <x:v>7</x:v>
      </x:c>
      <x:c r="C8" s="512">
        <x:v>0</x:v>
      </x:c>
      <x:c r="D8" s="512">
        <x:v>0</x:v>
      </x:c>
      <x:c r="E8" s="513">
        <x:v>208</x:v>
      </x:c>
      <x:c r="F8" s="513">
        <x:v>8</x:v>
      </x:c>
      <x:c r="G8" s="512">
        <x:v>0</x:v>
      </x:c>
      <x:c r="H8" s="512">
        <x:v>5</x:v>
      </x:c>
      <x:c r="I8" s="512">
        <x:v>16</x:v>
      </x:c>
      <x:c r="J8" s="512">
        <x:v>26</x:v>
      </x:c>
      <x:c r="K8" s="512">
        <x:v>50</x:v>
      </x:c>
      <x:c r="L8" s="512">
        <x:v>5</x:v>
      </x:c>
      <x:c r="M8" s="512">
        <x:v>2</x:v>
      </x:c>
      <x:c r="N8" s="512">
        <x:v>143</x:v>
      </x:c>
      <x:c r="O8" s="512">
        <x:v>0</x:v>
      </x:c>
      <x:c r="P8" s="512">
        <x:v>3</x:v>
      </x:c>
      <x:c r="Q8" s="512">
        <x:v>0</x:v>
      </x:c>
      <x:c r="R8" s="512">
        <x:v>13</x:v>
      </x:c>
      <x:c r="S8" s="512">
        <x:v>0</x:v>
      </x:c>
      <x:c r="T8" s="512">
        <x:v>0</x:v>
      </x:c>
      <x:c r="U8" s="512">
        <x:v>1</x:v>
      </x:c>
      <x:c r="V8" s="512">
        <x:v>257</x:v>
      </x:c>
      <x:c r="W8" s="512">
        <x:v>16</x:v>
      </x:c>
      <x:c r="X8" s="512">
        <x:v>1</x:v>
      </x:c>
      <x:c r="Y8" s="512">
        <x:v>0</x:v>
      </x:c>
      <x:c r="Z8" s="512"/>
      <x:c r="AA8" s="512"/>
      <x:c r="AB8" s="512"/>
      <x:c r="AC8" s="512"/>
      <x:c r="AD8" s="512"/>
      <x:c r="AE8" s="512"/>
      <x:c r="AF8" s="512"/>
      <x:c r="AG8" s="512"/>
      <x:c r="AH8" s="512"/>
      <x:c r="AI8" s="512"/>
      <x:c r="AJ8" s="512"/>
      <x:c r="AK8" s="512"/>
      <x:c r="AL8" s="512"/>
      <x:c r="AM8" s="512"/>
      <x:c r="AN8" s="512"/>
      <x:c r="AO8" s="514"/>
    </x:row>
    <x:row r="9" ht="19" customHeight="1">
      <x:c r="B9" s="509">
        <x:v>8</x:v>
      </x:c>
      <x:c r="C9" s="512">
        <x:v>706</x:v>
      </x:c>
      <x:c r="D9" s="512">
        <x:v>119</x:v>
      </x:c>
      <x:c r="E9" s="513">
        <x:v>177</x:v>
      </x:c>
      <x:c r="F9" s="513">
        <x:v>202</x:v>
      </x:c>
      <x:c r="G9" s="512">
        <x:v>98</x:v>
      </x:c>
      <x:c r="H9" s="512">
        <x:v>77</x:v>
      </x:c>
      <x:c r="I9" s="512">
        <x:v>119</x:v>
      </x:c>
      <x:c r="J9" s="512">
        <x:v>189</x:v>
      </x:c>
      <x:c r="K9" s="512">
        <x:v>250</x:v>
      </x:c>
      <x:c r="L9" s="512">
        <x:v>178</x:v>
      </x:c>
      <x:c r="M9" s="512">
        <x:v>296</x:v>
      </x:c>
      <x:c r="N9" s="512">
        <x:v>1178</x:v>
      </x:c>
      <x:c r="O9" s="512">
        <x:v>1157</x:v>
      </x:c>
      <x:c r="P9" s="512">
        <x:v>2259</x:v>
      </x:c>
      <x:c r="Q9" s="512">
        <x:v>870</x:v>
      </x:c>
      <x:c r="R9" s="512">
        <x:v>384</x:v>
      </x:c>
      <x:c r="S9" s="512">
        <x:v>433</x:v>
      </x:c>
      <x:c r="T9" s="512">
        <x:v>320</x:v>
      </x:c>
      <x:c r="U9" s="512">
        <x:v>237</x:v>
      </x:c>
      <x:c r="V9" s="512">
        <x:v>1383</x:v>
      </x:c>
      <x:c r="W9" s="512">
        <x:v>129</x:v>
      </x:c>
      <x:c r="X9" s="512">
        <x:v>140</x:v>
      </x:c>
      <x:c r="Y9" s="512">
        <x:v>65</x:v>
      </x:c>
      <x:c r="Z9" s="512"/>
      <x:c r="AA9" s="512"/>
      <x:c r="AB9" s="512"/>
      <x:c r="AC9" s="512"/>
      <x:c r="AD9" s="512"/>
      <x:c r="AE9" s="512"/>
      <x:c r="AF9" s="512"/>
      <x:c r="AG9" s="512"/>
      <x:c r="AH9" s="512"/>
      <x:c r="AI9" s="512"/>
      <x:c r="AJ9" s="512"/>
      <x:c r="AK9" s="512"/>
      <x:c r="AL9" s="512"/>
      <x:c r="AM9" s="512"/>
      <x:c r="AN9" s="512"/>
      <x:c r="AO9" s="514"/>
    </x:row>
    <x:row r="10" ht="19" customHeight="1">
      <x:c r="B10" s="509">
        <x:v>9</x:v>
      </x:c>
      <x:c r="C10" s="512">
        <x:v>206</x:v>
      </x:c>
      <x:c r="D10" s="512">
        <x:v>718</x:v>
      </x:c>
      <x:c r="E10" s="513">
        <x:v>444</x:v>
      </x:c>
      <x:c r="F10" s="513">
        <x:v>170</x:v>
      </x:c>
      <x:c r="G10" s="512">
        <x:v>452</x:v>
      </x:c>
      <x:c r="H10" s="512">
        <x:v>1142</x:v>
      </x:c>
      <x:c r="I10" s="512">
        <x:v>506</x:v>
      </x:c>
      <x:c r="J10" s="512">
        <x:v>2488</x:v>
      </x:c>
      <x:c r="K10" s="512">
        <x:v>540</x:v>
      </x:c>
      <x:c r="L10" s="512">
        <x:v>996</x:v>
      </x:c>
      <x:c r="M10" s="512">
        <x:v>1965</x:v>
      </x:c>
      <x:c r="N10" s="512">
        <x:v>2198</x:v>
      </x:c>
      <x:c r="O10" s="512">
        <x:v>1160</x:v>
      </x:c>
      <x:c r="P10" s="512">
        <x:v>1031</x:v>
      </x:c>
      <x:c r="Q10" s="512">
        <x:v>2224</x:v>
      </x:c>
      <x:c r="R10" s="512">
        <x:v>627</x:v>
      </x:c>
      <x:c r="S10" s="512">
        <x:v>453</x:v>
      </x:c>
      <x:c r="T10" s="512">
        <x:v>1287</x:v>
      </x:c>
      <x:c r="U10" s="512">
        <x:v>1067</x:v>
      </x:c>
      <x:c r="V10" s="512">
        <x:v>50</x:v>
      </x:c>
      <x:c r="W10" s="512">
        <x:v>2426</x:v>
      </x:c>
      <x:c r="X10" s="512">
        <x:v>1389</x:v>
      </x:c>
      <x:c r="Y10" s="512">
        <x:v>1829</x:v>
      </x:c>
      <x:c r="Z10" s="512"/>
      <x:c r="AA10" s="512"/>
      <x:c r="AB10" s="512"/>
      <x:c r="AC10" s="512"/>
      <x:c r="AD10" s="512"/>
      <x:c r="AE10" s="512"/>
      <x:c r="AF10" s="512"/>
      <x:c r="AG10" s="512"/>
      <x:c r="AH10" s="512"/>
      <x:c r="AI10" s="512"/>
      <x:c r="AJ10" s="512"/>
      <x:c r="AK10" s="512"/>
      <x:c r="AL10" s="512"/>
      <x:c r="AM10" s="512"/>
      <x:c r="AN10" s="512"/>
      <x:c r="AO10" s="514"/>
    </x:row>
    <x:row r="11" ht="19" customHeight="1">
      <x:c r="B11" s="509">
        <x:v>10</x:v>
      </x:c>
      <x:c r="C11" s="512">
        <x:v>13</x:v>
      </x:c>
      <x:c r="D11" s="512">
        <x:v>63</x:v>
      </x:c>
      <x:c r="E11" s="513">
        <x:v>129</x:v>
      </x:c>
      <x:c r="F11" s="513">
        <x:v>138</x:v>
      </x:c>
      <x:c r="G11" s="512">
        <x:v>187</x:v>
      </x:c>
      <x:c r="H11" s="512">
        <x:v>96</x:v>
      </x:c>
      <x:c r="I11" s="512">
        <x:v>51</x:v>
      </x:c>
      <x:c r="J11" s="512">
        <x:v>46</x:v>
      </x:c>
      <x:c r="K11" s="512">
        <x:v>36</x:v>
      </x:c>
      <x:c r="L11" s="512">
        <x:v>42</x:v>
      </x:c>
      <x:c r="M11" s="512">
        <x:v>27</x:v>
      </x:c>
      <x:c r="N11" s="512">
        <x:v>31</x:v>
      </x:c>
      <x:c r="O11" s="512">
        <x:v>21</x:v>
      </x:c>
      <x:c r="P11" s="512">
        <x:v>28</x:v>
      </x:c>
      <x:c r="Q11" s="512">
        <x:v>17</x:v>
      </x:c>
      <x:c r="R11" s="512">
        <x:v>32</x:v>
      </x:c>
      <x:c r="S11" s="512">
        <x:v>49</x:v>
      </x:c>
      <x:c r="T11" s="512">
        <x:v>39</x:v>
      </x:c>
      <x:c r="U11" s="512">
        <x:v>33</x:v>
      </x:c>
      <x:c r="V11" s="512">
        <x:v>314</x:v>
      </x:c>
      <x:c r="W11" s="512">
        <x:v>86</x:v>
      </x:c>
      <x:c r="X11" s="512">
        <x:v>115</x:v>
      </x:c>
      <x:c r="Y11" s="512">
        <x:v>85</x:v>
      </x:c>
      <x:c r="Z11" s="512"/>
      <x:c r="AA11" s="512"/>
      <x:c r="AB11" s="512"/>
      <x:c r="AC11" s="512"/>
      <x:c r="AD11" s="512"/>
      <x:c r="AE11" s="512"/>
      <x:c r="AF11" s="512"/>
      <x:c r="AG11" s="512"/>
      <x:c r="AH11" s="512"/>
      <x:c r="AI11" s="512"/>
      <x:c r="AJ11" s="512"/>
      <x:c r="AK11" s="512"/>
      <x:c r="AL11" s="512"/>
      <x:c r="AM11" s="512"/>
      <x:c r="AN11" s="512"/>
      <x:c r="AO11" s="514"/>
    </x:row>
    <x:row r="12" ht="19" customHeight="1">
      <x:c r="B12" s="509">
        <x:v>11</x:v>
      </x:c>
      <x:c r="C12" s="512">
        <x:v>425</x:v>
      </x:c>
      <x:c r="D12" s="512">
        <x:v>1074</x:v>
      </x:c>
      <x:c r="E12" s="513">
        <x:v>903</x:v>
      </x:c>
      <x:c r="F12" s="513">
        <x:v>62</x:v>
      </x:c>
      <x:c r="G12" s="512">
        <x:v>253</x:v>
      </x:c>
      <x:c r="H12" s="512">
        <x:v>1218</x:v>
      </x:c>
      <x:c r="I12" s="512">
        <x:v>792</x:v>
      </x:c>
      <x:c r="J12" s="512">
        <x:v>535</x:v>
      </x:c>
      <x:c r="K12" s="512">
        <x:v>488</x:v>
      </x:c>
      <x:c r="L12" s="512">
        <x:v>561</x:v>
      </x:c>
      <x:c r="M12" s="512">
        <x:v>595</x:v>
      </x:c>
      <x:c r="N12" s="512">
        <x:v>270</x:v>
      </x:c>
      <x:c r="O12" s="512">
        <x:v>433</x:v>
      </x:c>
      <x:c r="P12" s="512">
        <x:v>195</x:v>
      </x:c>
      <x:c r="Q12" s="512">
        <x:v>646</x:v>
      </x:c>
      <x:c r="R12" s="512">
        <x:v>553</x:v>
      </x:c>
      <x:c r="S12" s="512">
        <x:v>636</x:v>
      </x:c>
      <x:c r="T12" s="512">
        <x:v>353</x:v>
      </x:c>
      <x:c r="U12" s="512">
        <x:v>374</x:v>
      </x:c>
      <x:c r="V12" s="512">
        <x:v>199</x:v>
      </x:c>
      <x:c r="W12" s="512">
        <x:v>504</x:v>
      </x:c>
      <x:c r="X12" s="512">
        <x:v>542</x:v>
      </x:c>
      <x:c r="Y12" s="512">
        <x:v>248</x:v>
      </x:c>
      <x:c r="Z12" s="512"/>
      <x:c r="AA12" s="512"/>
      <x:c r="AB12" s="512"/>
      <x:c r="AC12" s="512"/>
      <x:c r="AD12" s="512"/>
      <x:c r="AE12" s="512"/>
      <x:c r="AF12" s="512"/>
      <x:c r="AG12" s="512"/>
      <x:c r="AH12" s="512"/>
      <x:c r="AI12" s="512"/>
      <x:c r="AJ12" s="512"/>
      <x:c r="AK12" s="512"/>
      <x:c r="AL12" s="512"/>
      <x:c r="AM12" s="512"/>
      <x:c r="AN12" s="512"/>
      <x:c r="AO12" s="514"/>
    </x:row>
    <x:row r="13" ht="19" customHeight="1">
      <x:c r="B13" s="509">
        <x:v>12</x:v>
      </x:c>
      <x:c r="C13" s="512">
        <x:v>104</x:v>
      </x:c>
      <x:c r="D13" s="512">
        <x:v>563</x:v>
      </x:c>
      <x:c r="E13" s="513">
        <x:v>522</x:v>
      </x:c>
      <x:c r="F13" s="513">
        <x:v>53</x:v>
      </x:c>
      <x:c r="G13" s="512">
        <x:v>23</x:v>
      </x:c>
      <x:c r="H13" s="512">
        <x:v>3</x:v>
      </x:c>
      <x:c r="I13" s="512">
        <x:v>216</x:v>
      </x:c>
      <x:c r="J13" s="512">
        <x:v>225</x:v>
      </x:c>
      <x:c r="K13" s="512">
        <x:v>154</x:v>
      </x:c>
      <x:c r="L13" s="512">
        <x:v>353</x:v>
      </x:c>
      <x:c r="M13" s="512">
        <x:v>251</x:v>
      </x:c>
      <x:c r="N13" s="512">
        <x:v>401</x:v>
      </x:c>
      <x:c r="O13" s="512">
        <x:v>298</x:v>
      </x:c>
      <x:c r="P13" s="512">
        <x:v>224</x:v>
      </x:c>
      <x:c r="Q13" s="512">
        <x:v>38</x:v>
      </x:c>
      <x:c r="R13" s="512">
        <x:v>38</x:v>
      </x:c>
      <x:c r="S13" s="512">
        <x:v>20</x:v>
      </x:c>
      <x:c r="T13" s="512">
        <x:v>11</x:v>
      </x:c>
      <x:c r="U13" s="512">
        <x:v>78</x:v>
      </x:c>
      <x:c r="V13" s="512">
        <x:v>1086</x:v>
      </x:c>
      <x:c r="W13" s="512">
        <x:v>3</x:v>
      </x:c>
      <x:c r="X13" s="512">
        <x:v>0</x:v>
      </x:c>
      <x:c r="Y13" s="512">
        <x:v>0</x:v>
      </x:c>
      <x:c r="Z13" s="512"/>
      <x:c r="AA13" s="512"/>
      <x:c r="AB13" s="512"/>
      <x:c r="AC13" s="512"/>
      <x:c r="AD13" s="512"/>
      <x:c r="AE13" s="512"/>
      <x:c r="AF13" s="512"/>
      <x:c r="AG13" s="512"/>
      <x:c r="AH13" s="512"/>
      <x:c r="AI13" s="512"/>
      <x:c r="AJ13" s="512"/>
      <x:c r="AK13" s="512"/>
      <x:c r="AL13" s="512"/>
      <x:c r="AM13" s="512"/>
      <x:c r="AN13" s="512"/>
      <x:c r="AO13" s="514"/>
    </x:row>
    <x:row r="14" ht="19" customHeight="1">
      <x:c r="B14" s="509">
        <x:v>13</x:v>
      </x:c>
      <x:c r="C14" s="512">
        <x:v>1026</x:v>
      </x:c>
      <x:c r="D14" s="512">
        <x:v>929</x:v>
      </x:c>
      <x:c r="E14" s="513">
        <x:v>1294</x:v>
      </x:c>
      <x:c r="F14" s="513">
        <x:v>622</x:v>
      </x:c>
      <x:c r="G14" s="512">
        <x:v>691</x:v>
      </x:c>
      <x:c r="H14" s="512">
        <x:v>719</x:v>
      </x:c>
      <x:c r="I14" s="512">
        <x:v>750</x:v>
      </x:c>
      <x:c r="J14" s="512">
        <x:v>389</x:v>
      </x:c>
      <x:c r="K14" s="512">
        <x:v>409</x:v>
      </x:c>
      <x:c r="L14" s="512">
        <x:v>419</x:v>
      </x:c>
      <x:c r="M14" s="512">
        <x:v>410</x:v>
      </x:c>
      <x:c r="N14" s="512">
        <x:v>1673</x:v>
      </x:c>
      <x:c r="O14" s="512">
        <x:v>812</x:v>
      </x:c>
      <x:c r="P14" s="512">
        <x:v>804</x:v>
      </x:c>
      <x:c r="Q14" s="512">
        <x:v>1348</x:v>
      </x:c>
      <x:c r="R14" s="512">
        <x:v>1303</x:v>
      </x:c>
      <x:c r="S14" s="512">
        <x:v>1136</x:v>
      </x:c>
      <x:c r="T14" s="512">
        <x:v>884</x:v>
      </x:c>
      <x:c r="U14" s="512">
        <x:v>1035</x:v>
      </x:c>
      <x:c r="V14" s="512">
        <x:v>177</x:v>
      </x:c>
      <x:c r="W14" s="512">
        <x:v>966</x:v>
      </x:c>
      <x:c r="X14" s="512">
        <x:v>956</x:v>
      </x:c>
      <x:c r="Y14" s="512">
        <x:v>521</x:v>
      </x:c>
      <x:c r="Z14" s="512"/>
      <x:c r="AA14" s="512"/>
      <x:c r="AB14" s="512"/>
      <x:c r="AC14" s="512"/>
      <x:c r="AD14" s="512"/>
      <x:c r="AE14" s="512"/>
      <x:c r="AF14" s="512"/>
      <x:c r="AG14" s="512"/>
      <x:c r="AH14" s="512"/>
      <x:c r="AI14" s="512"/>
      <x:c r="AJ14" s="512"/>
      <x:c r="AK14" s="512"/>
      <x:c r="AL14" s="512"/>
      <x:c r="AM14" s="512"/>
      <x:c r="AN14" s="512"/>
      <x:c r="AO14" s="514"/>
    </x:row>
    <x:row r="15" ht="19" customHeight="1">
      <x:c r="B15" s="509">
        <x:v>14</x:v>
      </x:c>
      <x:c r="C15" s="512">
        <x:v>192</x:v>
      </x:c>
      <x:c r="D15" s="512">
        <x:v>225</x:v>
      </x:c>
      <x:c r="E15" s="513">
        <x:v>80</x:v>
      </x:c>
      <x:c r="F15" s="513">
        <x:v>170</x:v>
      </x:c>
      <x:c r="G15" s="512">
        <x:v>147</x:v>
      </x:c>
      <x:c r="H15" s="512">
        <x:v>330</x:v>
      </x:c>
      <x:c r="I15" s="512">
        <x:v>128</x:v>
      </x:c>
      <x:c r="J15" s="512">
        <x:v>100</x:v>
      </x:c>
      <x:c r="K15" s="512">
        <x:v>664</x:v>
      </x:c>
      <x:c r="L15" s="512">
        <x:v>380</x:v>
      </x:c>
      <x:c r="M15" s="512">
        <x:v>834</x:v>
      </x:c>
      <x:c r="N15" s="512">
        <x:v>206</x:v>
      </x:c>
      <x:c r="O15" s="512">
        <x:v>20</x:v>
      </x:c>
      <x:c r="P15" s="512">
        <x:v>31</x:v>
      </x:c>
      <x:c r="Q15" s="512">
        <x:v>82</x:v>
      </x:c>
      <x:c r="R15" s="512">
        <x:v>1</x:v>
      </x:c>
      <x:c r="S15" s="512">
        <x:v>22</x:v>
      </x:c>
      <x:c r="T15" s="512">
        <x:v>40</x:v>
      </x:c>
      <x:c r="U15" s="512">
        <x:v>59</x:v>
      </x:c>
      <x:c r="V15" s="512">
        <x:v>179</x:v>
      </x:c>
      <x:c r="W15" s="512">
        <x:v>0</x:v>
      </x:c>
      <x:c r="X15" s="512">
        <x:v>958</x:v>
      </x:c>
      <x:c r="Y15" s="512">
        <x:v>697</x:v>
      </x:c>
      <x:c r="Z15" s="512"/>
      <x:c r="AA15" s="512"/>
      <x:c r="AB15" s="512"/>
      <x:c r="AC15" s="512"/>
      <x:c r="AD15" s="512"/>
      <x:c r="AE15" s="512"/>
      <x:c r="AF15" s="512"/>
      <x:c r="AG15" s="512"/>
      <x:c r="AH15" s="512"/>
      <x:c r="AI15" s="512"/>
      <x:c r="AJ15" s="512"/>
      <x:c r="AK15" s="512"/>
      <x:c r="AL15" s="512"/>
      <x:c r="AM15" s="512"/>
      <x:c r="AN15" s="512"/>
      <x:c r="AO15" s="514"/>
    </x:row>
    <x:row r="16" ht="19" customHeight="1">
      <x:c r="B16" s="509">
        <x:v>15</x:v>
      </x:c>
      <x:c r="C16" s="512">
        <x:v>104</x:v>
      </x:c>
      <x:c r="D16" s="512">
        <x:v>1923</x:v>
      </x:c>
      <x:c r="E16" s="513">
        <x:v>1465</x:v>
      </x:c>
      <x:c r="F16" s="513">
        <x:v>146</x:v>
      </x:c>
      <x:c r="G16" s="512">
        <x:v>120</x:v>
      </x:c>
      <x:c r="H16" s="512">
        <x:v>136</x:v>
      </x:c>
      <x:c r="I16" s="512">
        <x:v>137</x:v>
      </x:c>
      <x:c r="J16" s="512">
        <x:v>119</x:v>
      </x:c>
      <x:c r="K16" s="512">
        <x:v>43</x:v>
      </x:c>
      <x:c r="L16" s="512">
        <x:v>71</x:v>
      </x:c>
      <x:c r="M16" s="512">
        <x:v>64</x:v>
      </x:c>
      <x:c r="N16" s="512">
        <x:v>674</x:v>
      </x:c>
      <x:c r="O16" s="512">
        <x:v>424</x:v>
      </x:c>
      <x:c r="P16" s="512">
        <x:v>266</x:v>
      </x:c>
      <x:c r="Q16" s="512">
        <x:v>83</x:v>
      </x:c>
      <x:c r="R16" s="512">
        <x:v>82</x:v>
      </x:c>
      <x:c r="S16" s="512">
        <x:v>41</x:v>
      </x:c>
      <x:c r="T16" s="512">
        <x:v>65</x:v>
      </x:c>
      <x:c r="U16" s="512">
        <x:v>29</x:v>
      </x:c>
      <x:c r="V16" s="512">
        <x:v>115</x:v>
      </x:c>
      <x:c r="W16" s="512">
        <x:v>51</x:v>
      </x:c>
      <x:c r="X16" s="512">
        <x:v>13</x:v>
      </x:c>
      <x:c r="Y16" s="512">
        <x:v>15</x:v>
      </x:c>
      <x:c r="Z16" s="512"/>
      <x:c r="AA16" s="512"/>
      <x:c r="AB16" s="512"/>
      <x:c r="AC16" s="512"/>
      <x:c r="AD16" s="512"/>
      <x:c r="AE16" s="512"/>
      <x:c r="AF16" s="512"/>
      <x:c r="AG16" s="512"/>
      <x:c r="AH16" s="512"/>
      <x:c r="AI16" s="512"/>
      <x:c r="AJ16" s="512"/>
      <x:c r="AK16" s="512"/>
      <x:c r="AL16" s="512"/>
      <x:c r="AM16" s="512"/>
      <x:c r="AN16" s="512"/>
      <x:c r="AO16" s="514"/>
    </x:row>
    <x:row r="17" ht="19" customHeight="1">
      <x:c r="B17" s="509">
        <x:v>16</x:v>
      </x:c>
      <x:c r="C17" s="512">
        <x:v>575</x:v>
      </x:c>
      <x:c r="D17" s="512">
        <x:v>1116</x:v>
      </x:c>
      <x:c r="E17" s="513">
        <x:v>906</x:v>
      </x:c>
      <x:c r="F17" s="513">
        <x:v>1299</x:v>
      </x:c>
      <x:c r="G17" s="512">
        <x:v>1623</x:v>
      </x:c>
      <x:c r="H17" s="512">
        <x:v>1178</x:v>
      </x:c>
      <x:c r="I17" s="512">
        <x:v>1074</x:v>
      </x:c>
      <x:c r="J17" s="512">
        <x:v>1713</x:v>
      </x:c>
      <x:c r="K17" s="512">
        <x:v>812</x:v>
      </x:c>
      <x:c r="L17" s="512">
        <x:v>45</x:v>
      </x:c>
      <x:c r="M17" s="512">
        <x:v>1</x:v>
      </x:c>
      <x:c r="N17" s="512">
        <x:v>62</x:v>
      </x:c>
      <x:c r="O17" s="512">
        <x:v>169</x:v>
      </x:c>
      <x:c r="P17" s="512">
        <x:v>164</x:v>
      </x:c>
      <x:c r="Q17" s="512">
        <x:v>13</x:v>
      </x:c>
      <x:c r="R17" s="512">
        <x:v>175</x:v>
      </x:c>
      <x:c r="S17" s="512">
        <x:v>113</x:v>
      </x:c>
      <x:c r="T17" s="512">
        <x:v>530</x:v>
      </x:c>
      <x:c r="U17" s="512">
        <x:v>364</x:v>
      </x:c>
      <x:c r="V17" s="512">
        <x:v>331</x:v>
      </x:c>
      <x:c r="W17" s="512">
        <x:v>384</x:v>
      </x:c>
      <x:c r="X17" s="512">
        <x:v>69</x:v>
      </x:c>
      <x:c r="Y17" s="512">
        <x:v>198</x:v>
      </x:c>
      <x:c r="Z17" s="512"/>
      <x:c r="AA17" s="512"/>
      <x:c r="AB17" s="512"/>
      <x:c r="AC17" s="512"/>
      <x:c r="AD17" s="512"/>
      <x:c r="AE17" s="512"/>
      <x:c r="AF17" s="512"/>
      <x:c r="AG17" s="512"/>
      <x:c r="AH17" s="512"/>
      <x:c r="AI17" s="512"/>
      <x:c r="AJ17" s="512"/>
      <x:c r="AK17" s="512"/>
      <x:c r="AL17" s="512"/>
      <x:c r="AM17" s="512"/>
      <x:c r="AN17" s="512"/>
      <x:c r="AO17" s="514"/>
    </x:row>
    <x:row r="18" ht="19" customHeight="1">
      <x:c r="B18" s="509">
        <x:v>17</x:v>
      </x:c>
      <x:c r="C18" s="512">
        <x:v>395</x:v>
      </x:c>
      <x:c r="D18" s="512">
        <x:v>1366</x:v>
      </x:c>
      <x:c r="E18" s="513">
        <x:v>279</x:v>
      </x:c>
      <x:c r="F18" s="513">
        <x:v>234</x:v>
      </x:c>
      <x:c r="G18" s="512">
        <x:v>140</x:v>
      </x:c>
      <x:c r="H18" s="512">
        <x:v>484</x:v>
      </x:c>
      <x:c r="I18" s="512">
        <x:v>429</x:v>
      </x:c>
      <x:c r="J18" s="512">
        <x:v>391</x:v>
      </x:c>
      <x:c r="K18" s="512">
        <x:v>415</x:v>
      </x:c>
      <x:c r="L18" s="512">
        <x:v>468</x:v>
      </x:c>
      <x:c r="M18" s="512">
        <x:v>561</x:v>
      </x:c>
      <x:c r="N18" s="512">
        <x:v>969</x:v>
      </x:c>
      <x:c r="O18" s="512">
        <x:v>561</x:v>
      </x:c>
      <x:c r="P18" s="512">
        <x:v>424</x:v>
      </x:c>
      <x:c r="Q18" s="512">
        <x:v>705</x:v>
      </x:c>
      <x:c r="R18" s="512">
        <x:v>437</x:v>
      </x:c>
      <x:c r="S18" s="512">
        <x:v>61</x:v>
      </x:c>
      <x:c r="T18" s="512">
        <x:v>136</x:v>
      </x:c>
      <x:c r="U18" s="512">
        <x:v>116</x:v>
      </x:c>
      <x:c r="V18" s="512">
        <x:v>314</x:v>
      </x:c>
      <x:c r="W18" s="512">
        <x:v>419</x:v>
      </x:c>
      <x:c r="X18" s="512">
        <x:v>294</x:v>
      </x:c>
      <x:c r="Y18" s="512">
        <x:v>158</x:v>
      </x:c>
      <x:c r="Z18" s="512"/>
      <x:c r="AA18" s="512"/>
      <x:c r="AB18" s="512"/>
      <x:c r="AC18" s="512"/>
      <x:c r="AD18" s="512"/>
      <x:c r="AE18" s="512"/>
      <x:c r="AF18" s="512"/>
      <x:c r="AG18" s="512"/>
      <x:c r="AH18" s="512"/>
      <x:c r="AI18" s="512"/>
      <x:c r="AJ18" s="512"/>
      <x:c r="AK18" s="512"/>
      <x:c r="AL18" s="512"/>
      <x:c r="AM18" s="512"/>
      <x:c r="AN18" s="512"/>
      <x:c r="AO18" s="514"/>
    </x:row>
    <x:row r="19" ht="19" customHeight="1">
      <x:c r="B19" s="509">
        <x:v>18</x:v>
      </x:c>
      <x:c r="C19" s="512">
        <x:v>251</x:v>
      </x:c>
      <x:c r="D19" s="512">
        <x:v>221</x:v>
      </x:c>
      <x:c r="E19" s="513">
        <x:v>128</x:v>
      </x:c>
      <x:c r="F19" s="513">
        <x:v>60</x:v>
      </x:c>
      <x:c r="G19" s="512">
        <x:v>71</x:v>
      </x:c>
      <x:c r="H19" s="512">
        <x:v>55</x:v>
      </x:c>
      <x:c r="I19" s="512">
        <x:v>77</x:v>
      </x:c>
      <x:c r="J19" s="512">
        <x:v>69</x:v>
      </x:c>
      <x:c r="K19" s="512">
        <x:v>61</x:v>
      </x:c>
      <x:c r="L19" s="512">
        <x:v>25</x:v>
      </x:c>
      <x:c r="M19" s="512">
        <x:v>75</x:v>
      </x:c>
      <x:c r="N19" s="512">
        <x:v>106</x:v>
      </x:c>
      <x:c r="O19" s="512">
        <x:v>70</x:v>
      </x:c>
      <x:c r="P19" s="512">
        <x:v>63</x:v>
      </x:c>
      <x:c r="Q19" s="512">
        <x:v>38</x:v>
      </x:c>
      <x:c r="R19" s="512">
        <x:v>79</x:v>
      </x:c>
      <x:c r="S19" s="512">
        <x:v>24</x:v>
      </x:c>
      <x:c r="T19" s="512">
        <x:v>37</x:v>
      </x:c>
      <x:c r="U19" s="512">
        <x:v>27</x:v>
      </x:c>
      <x:c r="V19" s="512">
        <x:v>47</x:v>
      </x:c>
      <x:c r="W19" s="512">
        <x:v>38</x:v>
      </x:c>
      <x:c r="X19" s="512">
        <x:v>51</x:v>
      </x:c>
      <x:c r="Y19" s="512">
        <x:v>32</x:v>
      </x:c>
      <x:c r="Z19" s="512"/>
      <x:c r="AA19" s="512"/>
      <x:c r="AB19" s="512"/>
      <x:c r="AC19" s="512"/>
      <x:c r="AD19" s="512"/>
      <x:c r="AE19" s="512"/>
      <x:c r="AF19" s="512"/>
      <x:c r="AG19" s="512"/>
      <x:c r="AH19" s="512"/>
      <x:c r="AI19" s="512"/>
      <x:c r="AJ19" s="512"/>
      <x:c r="AK19" s="512"/>
      <x:c r="AL19" s="512"/>
      <x:c r="AM19" s="512"/>
      <x:c r="AN19" s="512"/>
      <x:c r="AO19" s="514"/>
    </x:row>
    <x:row r="20" ht="19" customHeight="1">
      <x:c r="B20" s="509">
        <x:v>19</x:v>
      </x:c>
      <x:c r="C20" s="512">
        <x:v>708</x:v>
      </x:c>
      <x:c r="D20" s="512">
        <x:v>771</x:v>
      </x:c>
      <x:c r="E20" s="513">
        <x:v>319</x:v>
      </x:c>
      <x:c r="F20" s="513">
        <x:v>233</x:v>
      </x:c>
      <x:c r="G20" s="512">
        <x:v>994</x:v>
      </x:c>
      <x:c r="H20" s="512">
        <x:v>212</x:v>
      </x:c>
      <x:c r="I20" s="512">
        <x:v>218</x:v>
      </x:c>
      <x:c r="J20" s="512">
        <x:v>302</x:v>
      </x:c>
      <x:c r="K20" s="512">
        <x:v>359</x:v>
      </x:c>
      <x:c r="L20" s="512">
        <x:v>210</x:v>
      </x:c>
      <x:c r="M20" s="512">
        <x:v>242</x:v>
      </x:c>
      <x:c r="N20" s="512">
        <x:v>312</x:v>
      </x:c>
      <x:c r="O20" s="512">
        <x:v>340</x:v>
      </x:c>
      <x:c r="P20" s="512">
        <x:v>475</x:v>
      </x:c>
      <x:c r="Q20" s="512">
        <x:v>432</x:v>
      </x:c>
      <x:c r="R20" s="512">
        <x:v>376</x:v>
      </x:c>
      <x:c r="S20" s="512">
        <x:v>325</x:v>
      </x:c>
      <x:c r="T20" s="512">
        <x:v>277</x:v>
      </x:c>
      <x:c r="U20" s="512">
        <x:v>335</x:v>
      </x:c>
      <x:c r="V20" s="512">
        <x:v>361</x:v>
      </x:c>
      <x:c r="W20" s="512">
        <x:v>277</x:v>
      </x:c>
      <x:c r="X20" s="512">
        <x:v>267</x:v>
      </x:c>
      <x:c r="Y20" s="512">
        <x:v>163</x:v>
      </x:c>
      <x:c r="Z20" s="512"/>
      <x:c r="AA20" s="512"/>
      <x:c r="AB20" s="512"/>
      <x:c r="AC20" s="512"/>
      <x:c r="AD20" s="512"/>
      <x:c r="AE20" s="512"/>
      <x:c r="AF20" s="512"/>
      <x:c r="AG20" s="512"/>
      <x:c r="AH20" s="512"/>
      <x:c r="AI20" s="512"/>
      <x:c r="AJ20" s="512"/>
      <x:c r="AK20" s="512"/>
      <x:c r="AL20" s="512"/>
      <x:c r="AM20" s="512"/>
      <x:c r="AN20" s="512"/>
      <x:c r="AO20" s="514"/>
    </x:row>
    <x:row r="21" ht="19" customHeight="1">
      <x:c r="B21" s="509">
        <x:v>20</x:v>
      </x:c>
      <x:c r="C21" s="512">
        <x:v>816</x:v>
      </x:c>
      <x:c r="D21" s="512">
        <x:v>309</x:v>
      </x:c>
      <x:c r="E21" s="513">
        <x:v>639</x:v>
      </x:c>
      <x:c r="F21" s="513">
        <x:v>313</x:v>
      </x:c>
      <x:c r="G21" s="512">
        <x:v>154</x:v>
      </x:c>
      <x:c r="H21" s="512">
        <x:v>167</x:v>
      </x:c>
      <x:c r="I21" s="512">
        <x:v>52</x:v>
      </x:c>
      <x:c r="J21" s="512">
        <x:v>338</x:v>
      </x:c>
      <x:c r="K21" s="512">
        <x:v>145</x:v>
      </x:c>
      <x:c r="L21" s="512">
        <x:v>317</x:v>
      </x:c>
      <x:c r="M21" s="512">
        <x:v>84</x:v>
      </x:c>
      <x:c r="N21" s="512">
        <x:v>149</x:v>
      </x:c>
      <x:c r="O21" s="512">
        <x:v>150</x:v>
      </x:c>
      <x:c r="P21" s="512">
        <x:v>28</x:v>
      </x:c>
      <x:c r="Q21" s="512">
        <x:v>177</x:v>
      </x:c>
      <x:c r="R21" s="512">
        <x:v>71</x:v>
      </x:c>
      <x:c r="S21" s="512">
        <x:v>20</x:v>
      </x:c>
      <x:c r="T21" s="512">
        <x:v>24</x:v>
      </x:c>
      <x:c r="U21" s="512">
        <x:v>135</x:v>
      </x:c>
      <x:c r="V21" s="512">
        <x:v>171</x:v>
      </x:c>
      <x:c r="W21" s="512">
        <x:v>28</x:v>
      </x:c>
      <x:c r="X21" s="512">
        <x:v>73</x:v>
      </x:c>
      <x:c r="Y21" s="512">
        <x:v>132</x:v>
      </x:c>
      <x:c r="Z21" s="512"/>
      <x:c r="AA21" s="512"/>
      <x:c r="AB21" s="512"/>
      <x:c r="AC21" s="512"/>
      <x:c r="AD21" s="512"/>
      <x:c r="AE21" s="512"/>
      <x:c r="AF21" s="512"/>
      <x:c r="AG21" s="512"/>
      <x:c r="AH21" s="512"/>
      <x:c r="AI21" s="512"/>
      <x:c r="AJ21" s="512"/>
      <x:c r="AK21" s="512"/>
      <x:c r="AL21" s="512"/>
      <x:c r="AM21" s="512"/>
      <x:c r="AN21" s="512"/>
      <x:c r="AO21" s="514"/>
    </x:row>
    <x:row r="22" ht="19" customHeight="1">
      <x:c r="B22" s="509">
        <x:v>21</x:v>
      </x:c>
      <x:c r="C22" s="512">
        <x:v>373</x:v>
      </x:c>
      <x:c r="D22" s="512">
        <x:v>360</x:v>
      </x:c>
      <x:c r="E22" s="513">
        <x:v>315</x:v>
      </x:c>
      <x:c r="F22" s="513">
        <x:v>49</x:v>
      </x:c>
      <x:c r="G22" s="512">
        <x:v>58</x:v>
      </x:c>
      <x:c r="H22" s="512">
        <x:v>239</x:v>
      </x:c>
      <x:c r="I22" s="512">
        <x:v>77</x:v>
      </x:c>
      <x:c r="J22" s="512">
        <x:v>16</x:v>
      </x:c>
      <x:c r="K22" s="512">
        <x:v>108</x:v>
      </x:c>
      <x:c r="L22" s="512">
        <x:v>64</x:v>
      </x:c>
      <x:c r="M22" s="512">
        <x:v>5</x:v>
      </x:c>
      <x:c r="N22" s="512">
        <x:v>2</x:v>
      </x:c>
      <x:c r="O22" s="512">
        <x:v>4</x:v>
      </x:c>
      <x:c r="P22" s="512">
        <x:v>0</x:v>
      </x:c>
      <x:c r="Q22" s="512">
        <x:v>0</x:v>
      </x:c>
      <x:c r="R22" s="512">
        <x:v>0</x:v>
      </x:c>
      <x:c r="S22" s="512">
        <x:v>0</x:v>
      </x:c>
      <x:c r="T22" s="512">
        <x:v>10</x:v>
      </x:c>
      <x:c r="U22" s="512">
        <x:v>0</x:v>
      </x:c>
      <x:c r="V22" s="512">
        <x:v>0</x:v>
      </x:c>
      <x:c r="W22" s="512">
        <x:v>0</x:v>
      </x:c>
      <x:c r="X22" s="512">
        <x:v>0</x:v>
      </x:c>
      <x:c r="Y22" s="512">
        <x:v>0</x:v>
      </x:c>
      <x:c r="Z22" s="512"/>
      <x:c r="AA22" s="512"/>
      <x:c r="AB22" s="512"/>
      <x:c r="AC22" s="512"/>
      <x:c r="AD22" s="512"/>
      <x:c r="AE22" s="512"/>
      <x:c r="AF22" s="512"/>
      <x:c r="AG22" s="512"/>
      <x:c r="AH22" s="512"/>
      <x:c r="AI22" s="512"/>
      <x:c r="AJ22" s="512"/>
      <x:c r="AK22" s="512"/>
      <x:c r="AL22" s="512"/>
      <x:c r="AM22" s="512"/>
      <x:c r="AN22" s="512"/>
      <x:c r="AO22" s="514"/>
    </x:row>
    <x:row r="23" ht="19" customHeight="1">
      <x:c r="B23" s="509">
        <x:v>22</x:v>
      </x:c>
      <x:c r="C23" s="512">
        <x:v>106</x:v>
      </x:c>
      <x:c r="D23" s="512">
        <x:v>4</x:v>
      </x:c>
      <x:c r="E23" s="513">
        <x:v>96</x:v>
      </x:c>
      <x:c r="F23" s="513">
        <x:v>54</x:v>
      </x:c>
      <x:c r="G23" s="512">
        <x:v>185</x:v>
      </x:c>
      <x:c r="H23" s="512">
        <x:v>335</x:v>
      </x:c>
      <x:c r="I23" s="512">
        <x:v>310</x:v>
      </x:c>
      <x:c r="J23" s="512">
        <x:v>197</x:v>
      </x:c>
      <x:c r="K23" s="512">
        <x:v>271</x:v>
      </x:c>
      <x:c r="L23" s="512">
        <x:v>297</x:v>
      </x:c>
      <x:c r="M23" s="512">
        <x:v>207</x:v>
      </x:c>
      <x:c r="N23" s="512">
        <x:v>337</x:v>
      </x:c>
      <x:c r="O23" s="512">
        <x:v>533</x:v>
      </x:c>
      <x:c r="P23" s="512">
        <x:v>416</x:v>
      </x:c>
      <x:c r="Q23" s="512">
        <x:v>597</x:v>
      </x:c>
      <x:c r="R23" s="512">
        <x:v>605</x:v>
      </x:c>
      <x:c r="S23" s="512">
        <x:v>524</x:v>
      </x:c>
      <x:c r="T23" s="512">
        <x:v>496</x:v>
      </x:c>
      <x:c r="U23" s="512">
        <x:v>315</x:v>
      </x:c>
      <x:c r="V23" s="512">
        <x:v>37</x:v>
      </x:c>
      <x:c r="W23" s="512">
        <x:v>247</x:v>
      </x:c>
      <x:c r="X23" s="512">
        <x:v>245</x:v>
      </x:c>
      <x:c r="Y23" s="512">
        <x:v>108</x:v>
      </x:c>
      <x:c r="Z23" s="512"/>
      <x:c r="AA23" s="512"/>
      <x:c r="AB23" s="512"/>
      <x:c r="AC23" s="512"/>
      <x:c r="AD23" s="512"/>
      <x:c r="AE23" s="512"/>
      <x:c r="AF23" s="512"/>
      <x:c r="AG23" s="512"/>
      <x:c r="AH23" s="512"/>
      <x:c r="AI23" s="512"/>
      <x:c r="AJ23" s="512"/>
      <x:c r="AK23" s="512"/>
      <x:c r="AL23" s="512"/>
      <x:c r="AM23" s="512"/>
      <x:c r="AN23" s="512"/>
      <x:c r="AO23" s="514"/>
    </x:row>
    <x:row r="24" ht="19" customHeight="1">
      <x:c r="B24" s="509">
        <x:v>23</x:v>
      </x:c>
      <x:c r="C24" s="512">
        <x:v>463</x:v>
      </x:c>
      <x:c r="D24" s="512">
        <x:v>568</x:v>
      </x:c>
      <x:c r="E24" s="513">
        <x:v>507</x:v>
      </x:c>
      <x:c r="F24" s="513">
        <x:v>566</x:v>
      </x:c>
      <x:c r="G24" s="512">
        <x:v>303</x:v>
      </x:c>
      <x:c r="H24" s="512">
        <x:v>262</x:v>
      </x:c>
      <x:c r="I24" s="512">
        <x:v>461</x:v>
      </x:c>
      <x:c r="J24" s="512">
        <x:v>518</x:v>
      </x:c>
      <x:c r="K24" s="512">
        <x:v>478</x:v>
      </x:c>
      <x:c r="L24" s="512">
        <x:v>299</x:v>
      </x:c>
      <x:c r="M24" s="512">
        <x:v>516</x:v>
      </x:c>
      <x:c r="N24" s="512">
        <x:v>1107</x:v>
      </x:c>
      <x:c r="O24" s="512">
        <x:v>1147</x:v>
      </x:c>
      <x:c r="P24" s="512">
        <x:v>1118</x:v>
      </x:c>
      <x:c r="Q24" s="512">
        <x:v>999</x:v>
      </x:c>
      <x:c r="R24" s="512">
        <x:v>1156</x:v>
      </x:c>
      <x:c r="S24" s="512">
        <x:v>1051</x:v>
      </x:c>
      <x:c r="T24" s="512">
        <x:v>581</x:v>
      </x:c>
      <x:c r="U24" s="512">
        <x:v>762</x:v>
      </x:c>
      <x:c r="V24" s="512">
        <x:v>1153</x:v>
      </x:c>
      <x:c r="W24" s="512">
        <x:v>2039</x:v>
      </x:c>
      <x:c r="X24" s="512">
        <x:v>2417</x:v>
      </x:c>
      <x:c r="Y24" s="512">
        <x:v>1392</x:v>
      </x:c>
      <x:c r="Z24" s="512"/>
      <x:c r="AA24" s="512"/>
      <x:c r="AB24" s="512"/>
      <x:c r="AC24" s="512"/>
      <x:c r="AD24" s="512"/>
      <x:c r="AE24" s="512"/>
      <x:c r="AF24" s="512"/>
      <x:c r="AG24" s="512"/>
      <x:c r="AH24" s="512"/>
      <x:c r="AI24" s="512"/>
      <x:c r="AJ24" s="512"/>
      <x:c r="AK24" s="512"/>
      <x:c r="AL24" s="512"/>
      <x:c r="AM24" s="512"/>
      <x:c r="AN24" s="512"/>
      <x:c r="AO24" s="514"/>
    </x:row>
    <x:row r="25" ht="19" customHeight="1">
      <x:c r="B25" s="509">
        <x:v>24</x:v>
      </x:c>
      <x:c r="C25" s="512">
        <x:v>0</x:v>
      </x:c>
      <x:c r="D25" s="512">
        <x:v>11</x:v>
      </x:c>
      <x:c r="E25" s="513">
        <x:v>21</x:v>
      </x:c>
      <x:c r="F25" s="513">
        <x:v>0</x:v>
      </x:c>
      <x:c r="G25" s="512">
        <x:v>100</x:v>
      </x:c>
      <x:c r="H25" s="512">
        <x:v>100</x:v>
      </x:c>
      <x:c r="I25" s="512">
        <x:v>131</x:v>
      </x:c>
      <x:c r="J25" s="512">
        <x:v>121</x:v>
      </x:c>
      <x:c r="K25" s="512">
        <x:v>172</x:v>
      </x:c>
      <x:c r="L25" s="512">
        <x:v>0</x:v>
      </x:c>
      <x:c r="M25" s="512">
        <x:v>0</x:v>
      </x:c>
      <x:c r="N25" s="512">
        <x:v>0</x:v>
      </x:c>
      <x:c r="O25" s="512">
        <x:v>0</x:v>
      </x:c>
      <x:c r="P25" s="512">
        <x:v>0</x:v>
      </x:c>
      <x:c r="Q25" s="512">
        <x:v>0</x:v>
      </x:c>
      <x:c r="R25" s="512">
        <x:v>0</x:v>
      </x:c>
      <x:c r="S25" s="512">
        <x:v>0</x:v>
      </x:c>
      <x:c r="T25" s="512">
        <x:v>0</x:v>
      </x:c>
      <x:c r="U25" s="512">
        <x:v>0</x:v>
      </x:c>
      <x:c r="V25" s="512"/>
      <x:c r="W25" s="512">
        <x:v>22</x:v>
      </x:c>
      <x:c r="X25" s="512">
        <x:v>169</x:v>
      </x:c>
      <x:c r="Y25" s="512">
        <x:v>96</x:v>
      </x:c>
      <x:c r="Z25" s="512"/>
      <x:c r="AA25" s="512"/>
      <x:c r="AB25" s="512"/>
      <x:c r="AC25" s="512"/>
      <x:c r="AD25" s="512"/>
      <x:c r="AE25" s="512"/>
      <x:c r="AF25" s="512"/>
      <x:c r="AG25" s="512"/>
      <x:c r="AH25" s="512"/>
      <x:c r="AI25" s="512"/>
      <x:c r="AJ25" s="512"/>
      <x:c r="AK25" s="512"/>
      <x:c r="AL25" s="512"/>
      <x:c r="AM25" s="512"/>
      <x:c r="AN25" s="512"/>
      <x:c r="AO25" s="514"/>
    </x:row>
    <x:row r="26" ht="19" customHeight="1">
      <x:c r="B26" s="509">
        <x:v>25</x:v>
      </x:c>
      <x:c r="C26" s="512">
        <x:v>135</x:v>
      </x:c>
      <x:c r="D26" s="512">
        <x:v>44</x:v>
      </x:c>
      <x:c r="E26" s="513">
        <x:v>43</x:v>
      </x:c>
      <x:c r="F26" s="513">
        <x:v>18</x:v>
      </x:c>
      <x:c r="G26" s="512">
        <x:v>1</x:v>
      </x:c>
      <x:c r="H26" s="512">
        <x:v>16</x:v>
      </x:c>
      <x:c r="I26" s="512">
        <x:v>40</x:v>
      </x:c>
      <x:c r="J26" s="512">
        <x:v>59</x:v>
      </x:c>
      <x:c r="K26" s="512">
        <x:v>53</x:v>
      </x:c>
      <x:c r="L26" s="512">
        <x:v>52</x:v>
      </x:c>
      <x:c r="M26" s="512">
        <x:v>84</x:v>
      </x:c>
      <x:c r="N26" s="512">
        <x:v>70</x:v>
      </x:c>
      <x:c r="O26" s="512">
        <x:v>65</x:v>
      </x:c>
      <x:c r="P26" s="512">
        <x:v>1118</x:v>
      </x:c>
      <x:c r="Q26" s="512">
        <x:v>67</x:v>
      </x:c>
      <x:c r="R26" s="512">
        <x:v>45</x:v>
      </x:c>
      <x:c r="S26" s="512">
        <x:v>46</x:v>
      </x:c>
      <x:c r="T26" s="512">
        <x:v>48</x:v>
      </x:c>
      <x:c r="U26" s="512">
        <x:v>62</x:v>
      </x:c>
      <x:c r="V26" s="512">
        <x:v>56</x:v>
      </x:c>
      <x:c r="W26" s="512">
        <x:v>24</x:v>
      </x:c>
      <x:c r="X26" s="512">
        <x:v>49</x:v>
      </x:c>
      <x:c r="Y26" s="512">
        <x:v>26</x:v>
      </x:c>
      <x:c r="Z26" s="512"/>
      <x:c r="AA26" s="512"/>
      <x:c r="AB26" s="512"/>
      <x:c r="AC26" s="512"/>
      <x:c r="AD26" s="512"/>
      <x:c r="AE26" s="512"/>
      <x:c r="AF26" s="512"/>
      <x:c r="AG26" s="512"/>
      <x:c r="AH26" s="512"/>
      <x:c r="AI26" s="512"/>
      <x:c r="AJ26" s="512"/>
      <x:c r="AK26" s="512"/>
      <x:c r="AL26" s="512"/>
      <x:c r="AM26" s="512"/>
      <x:c r="AN26" s="512"/>
      <x:c r="AO26" s="514"/>
    </x:row>
    <x:row r="27" ht="19" customHeight="1">
      <x:c r="B27" s="509">
        <x:v>26</x:v>
      </x:c>
      <x:c r="C27" s="512">
        <x:v>160</x:v>
      </x:c>
      <x:c r="D27" s="512">
        <x:v>205</x:v>
      </x:c>
      <x:c r="E27" s="513">
        <x:v>283</x:v>
      </x:c>
      <x:c r="F27" s="513">
        <x:v>138</x:v>
      </x:c>
      <x:c r="G27" s="512">
        <x:v>104</x:v>
      </x:c>
      <x:c r="H27" s="512">
        <x:v>94</x:v>
      </x:c>
      <x:c r="I27" s="512">
        <x:v>31</x:v>
      </x:c>
      <x:c r="J27" s="512">
        <x:v>17</x:v>
      </x:c>
      <x:c r="K27" s="512">
        <x:v>3</x:v>
      </x:c>
      <x:c r="L27" s="512">
        <x:v>2</x:v>
      </x:c>
      <x:c r="M27" s="512">
        <x:v>25</x:v>
      </x:c>
      <x:c r="N27" s="512">
        <x:v>45</x:v>
      </x:c>
      <x:c r="O27" s="512">
        <x:v>7</x:v>
      </x:c>
      <x:c r="P27" s="512">
        <x:v>1</x:v>
      </x:c>
      <x:c r="Q27" s="512">
        <x:v>0</x:v>
      </x:c>
      <x:c r="R27" s="512">
        <x:v>27</x:v>
      </x:c>
      <x:c r="S27" s="512">
        <x:v>6</x:v>
      </x:c>
      <x:c r="T27" s="512">
        <x:v>1</x:v>
      </x:c>
      <x:c r="U27" s="512">
        <x:v>0</x:v>
      </x:c>
      <x:c r="V27" s="512">
        <x:v>3</x:v>
      </x:c>
      <x:c r="W27" s="512">
        <x:v>2</x:v>
      </x:c>
      <x:c r="X27" s="512">
        <x:v>10</x:v>
      </x:c>
      <x:c r="Y27" s="512">
        <x:v>24</x:v>
      </x:c>
      <x:c r="Z27" s="512"/>
      <x:c r="AA27" s="512"/>
      <x:c r="AB27" s="512"/>
      <x:c r="AC27" s="512"/>
      <x:c r="AD27" s="512"/>
      <x:c r="AE27" s="512"/>
      <x:c r="AF27" s="512"/>
      <x:c r="AG27" s="512"/>
      <x:c r="AH27" s="512"/>
      <x:c r="AI27" s="512"/>
      <x:c r="AJ27" s="512"/>
      <x:c r="AK27" s="512"/>
      <x:c r="AL27" s="512"/>
      <x:c r="AM27" s="512"/>
      <x:c r="AN27" s="512"/>
      <x:c r="AO27" s="514"/>
    </x:row>
    <x:row r="28" ht="19" customHeight="1">
      <x:c r="B28" s="509">
        <x:v>27</x:v>
      </x:c>
      <x:c r="C28" s="512">
        <x:v>179</x:v>
      </x:c>
      <x:c r="D28" s="512">
        <x:v>462</x:v>
      </x:c>
      <x:c r="E28" s="513">
        <x:v>254</x:v>
      </x:c>
      <x:c r="F28" s="513">
        <x:v>206</x:v>
      </x:c>
      <x:c r="G28" s="512">
        <x:v>194</x:v>
      </x:c>
      <x:c r="H28" s="512">
        <x:v>275</x:v>
      </x:c>
      <x:c r="I28" s="512">
        <x:v>232</x:v>
      </x:c>
      <x:c r="J28" s="512">
        <x:v>400</x:v>
      </x:c>
      <x:c r="K28" s="512">
        <x:v>73</x:v>
      </x:c>
      <x:c r="L28" s="512">
        <x:v>241</x:v>
      </x:c>
      <x:c r="M28" s="512">
        <x:v>713</x:v>
      </x:c>
      <x:c r="N28" s="512">
        <x:v>1073</x:v>
      </x:c>
      <x:c r="O28" s="512">
        <x:v>1142</x:v>
      </x:c>
      <x:c r="P28" s="512">
        <x:v>385</x:v>
      </x:c>
      <x:c r="Q28" s="512">
        <x:v>672</x:v>
      </x:c>
      <x:c r="R28" s="512">
        <x:v>347</x:v>
      </x:c>
      <x:c r="S28" s="512">
        <x:v>63</x:v>
      </x:c>
      <x:c r="T28" s="512">
        <x:v>670</x:v>
      </x:c>
      <x:c r="U28" s="512">
        <x:v>175</x:v>
      </x:c>
      <x:c r="V28" s="512">
        <x:v>388</x:v>
      </x:c>
      <x:c r="W28" s="512">
        <x:v>481</x:v>
      </x:c>
      <x:c r="X28" s="512">
        <x:v>691</x:v>
      </x:c>
      <x:c r="Y28" s="512">
        <x:v>303</x:v>
      </x:c>
      <x:c r="Z28" s="512"/>
      <x:c r="AA28" s="512"/>
      <x:c r="AB28" s="512"/>
      <x:c r="AC28" s="512"/>
      <x:c r="AD28" s="512"/>
      <x:c r="AE28" s="512"/>
      <x:c r="AF28" s="512"/>
      <x:c r="AG28" s="512"/>
      <x:c r="AH28" s="512"/>
      <x:c r="AI28" s="512"/>
      <x:c r="AJ28" s="512"/>
      <x:c r="AK28" s="512"/>
      <x:c r="AL28" s="512"/>
      <x:c r="AM28" s="512"/>
      <x:c r="AN28" s="512"/>
      <x:c r="AO28" s="514"/>
    </x:row>
    <x:row r="29" ht="19" customHeight="1">
      <x:c r="B29" s="509">
        <x:v>28</x:v>
      </x:c>
      <x:c r="C29" s="512">
        <x:v>1</x:v>
      </x:c>
      <x:c r="D29" s="512">
        <x:v>35</x:v>
      </x:c>
      <x:c r="E29" s="513">
        <x:v>900</x:v>
      </x:c>
      <x:c r="F29" s="513">
        <x:v>52</x:v>
      </x:c>
      <x:c r="G29" s="512">
        <x:v>13</x:v>
      </x:c>
      <x:c r="H29" s="512">
        <x:v>21</x:v>
      </x:c>
      <x:c r="I29" s="512">
        <x:v>5</x:v>
      </x:c>
      <x:c r="J29" s="512">
        <x:v>233</x:v>
      </x:c>
      <x:c r="K29" s="512">
        <x:v>109</x:v>
      </x:c>
      <x:c r="L29" s="512">
        <x:v>21</x:v>
      </x:c>
      <x:c r="M29" s="512">
        <x:v>77</x:v>
      </x:c>
      <x:c r="N29" s="512">
        <x:v>46</x:v>
      </x:c>
      <x:c r="O29" s="512">
        <x:v>10</x:v>
      </x:c>
      <x:c r="P29" s="512">
        <x:v>51</x:v>
      </x:c>
      <x:c r="Q29" s="512">
        <x:v>859</x:v>
      </x:c>
      <x:c r="R29" s="512">
        <x:v>676</x:v>
      </x:c>
      <x:c r="S29" s="512">
        <x:v>233</x:v>
      </x:c>
      <x:c r="T29" s="512">
        <x:v>291</x:v>
      </x:c>
      <x:c r="U29" s="512">
        <x:v>457</x:v>
      </x:c>
      <x:c r="V29" s="512">
        <x:v>189</x:v>
      </x:c>
      <x:c r="W29" s="512">
        <x:v>123</x:v>
      </x:c>
      <x:c r="X29" s="512">
        <x:v>83</x:v>
      </x:c>
      <x:c r="Y29" s="512">
        <x:v>41</x:v>
      </x:c>
      <x:c r="Z29" s="512"/>
      <x:c r="AA29" s="512"/>
      <x:c r="AB29" s="512"/>
      <x:c r="AC29" s="512"/>
      <x:c r="AD29" s="512"/>
      <x:c r="AE29" s="512"/>
      <x:c r="AF29" s="512"/>
      <x:c r="AG29" s="512"/>
      <x:c r="AH29" s="512"/>
      <x:c r="AI29" s="512"/>
      <x:c r="AJ29" s="512"/>
      <x:c r="AK29" s="512"/>
      <x:c r="AL29" s="512"/>
      <x:c r="AM29" s="512"/>
      <x:c r="AN29" s="512"/>
      <x:c r="AO29" s="514"/>
    </x:row>
    <x:row r="30" ht="19" customHeight="1">
      <x:c r="B30" s="509">
        <x:v>29</x:v>
      </x:c>
      <x:c r="C30" s="512">
        <x:v>844</x:v>
      </x:c>
      <x:c r="D30" s="512">
        <x:v>861</x:v>
      </x:c>
      <x:c r="E30" s="513">
        <x:v>1085</x:v>
      </x:c>
      <x:c r="F30" s="513">
        <x:v>16</x:v>
      </x:c>
      <x:c r="G30" s="512">
        <x:v>43</x:v>
      </x:c>
      <x:c r="H30" s="512">
        <x:v>31</x:v>
      </x:c>
      <x:c r="I30" s="512">
        <x:v>33</x:v>
      </x:c>
      <x:c r="J30" s="512">
        <x:v>20</x:v>
      </x:c>
      <x:c r="K30" s="512">
        <x:v>39</x:v>
      </x:c>
      <x:c r="L30" s="512">
        <x:v>17</x:v>
      </x:c>
      <x:c r="M30" s="512">
        <x:v>61</x:v>
      </x:c>
      <x:c r="N30" s="512">
        <x:v>146</x:v>
      </x:c>
      <x:c r="O30" s="512">
        <x:v>132</x:v>
      </x:c>
      <x:c r="P30" s="512">
        <x:v>16</x:v>
      </x:c>
      <x:c r="Q30" s="512">
        <x:v>402</x:v>
      </x:c>
      <x:c r="R30" s="512">
        <x:v>107</x:v>
      </x:c>
      <x:c r="S30" s="512">
        <x:v>209</x:v>
      </x:c>
      <x:c r="T30" s="512">
        <x:v>315</x:v>
      </x:c>
      <x:c r="U30" s="512">
        <x:v>385</x:v>
      </x:c>
      <x:c r="V30" s="512">
        <x:v>450</x:v>
      </x:c>
      <x:c r="W30" s="512">
        <x:v>753</x:v>
      </x:c>
      <x:c r="X30" s="512">
        <x:v>305</x:v>
      </x:c>
      <x:c r="Y30" s="512">
        <x:v>260</x:v>
      </x:c>
      <x:c r="Z30" s="512"/>
      <x:c r="AA30" s="512"/>
      <x:c r="AB30" s="512"/>
      <x:c r="AC30" s="512"/>
      <x:c r="AD30" s="512"/>
      <x:c r="AE30" s="512"/>
      <x:c r="AF30" s="512"/>
      <x:c r="AG30" s="512"/>
      <x:c r="AH30" s="512"/>
      <x:c r="AI30" s="512"/>
      <x:c r="AJ30" s="512"/>
      <x:c r="AK30" s="512"/>
      <x:c r="AL30" s="512"/>
      <x:c r="AM30" s="512"/>
      <x:c r="AN30" s="512"/>
      <x:c r="AO30" s="514"/>
    </x:row>
    <x:row r="31" ht="19" customHeight="1">
      <x:c r="B31" s="509">
        <x:v>30</x:v>
      </x:c>
      <x:c r="C31" s="512">
        <x:v>40</x:v>
      </x:c>
      <x:c r="D31" s="512">
        <x:v>17</x:v>
      </x:c>
      <x:c r="E31" s="513">
        <x:v>18</x:v>
      </x:c>
      <x:c r="F31" s="513">
        <x:v>0</x:v>
      </x:c>
      <x:c r="G31" s="512">
        <x:v>43</x:v>
      </x:c>
      <x:c r="H31" s="512">
        <x:v>22</x:v>
      </x:c>
      <x:c r="I31" s="512">
        <x:v>4</x:v>
      </x:c>
      <x:c r="J31" s="512">
        <x:v>0</x:v>
      </x:c>
      <x:c r="K31" s="512">
        <x:v>2</x:v>
      </x:c>
      <x:c r="L31" s="512">
        <x:v>2</x:v>
      </x:c>
      <x:c r="M31" s="512">
        <x:v>6</x:v>
      </x:c>
      <x:c r="N31" s="512">
        <x:v>2</x:v>
      </x:c>
      <x:c r="O31" s="512">
        <x:v>1</x:v>
      </x:c>
      <x:c r="P31" s="512">
        <x:v>2</x:v>
      </x:c>
      <x:c r="Q31" s="512">
        <x:v>6</x:v>
      </x:c>
      <x:c r="R31" s="512">
        <x:v>3</x:v>
      </x:c>
      <x:c r="S31" s="512">
        <x:v>32</x:v>
      </x:c>
      <x:c r="T31" s="512">
        <x:v>29</x:v>
      </x:c>
      <x:c r="U31" s="512">
        <x:v>80</x:v>
      </x:c>
      <x:c r="V31" s="512">
        <x:v>82</x:v>
      </x:c>
      <x:c r="W31" s="512">
        <x:v>41</x:v>
      </x:c>
      <x:c r="X31" s="512">
        <x:v>65</x:v>
      </x:c>
      <x:c r="Y31" s="512">
        <x:v>39</x:v>
      </x:c>
      <x:c r="Z31" s="512"/>
      <x:c r="AA31" s="512"/>
      <x:c r="AB31" s="512"/>
      <x:c r="AC31" s="512"/>
      <x:c r="AD31" s="512"/>
      <x:c r="AE31" s="512"/>
      <x:c r="AF31" s="512"/>
      <x:c r="AG31" s="512"/>
      <x:c r="AH31" s="512"/>
      <x:c r="AI31" s="512"/>
      <x:c r="AJ31" s="512"/>
      <x:c r="AK31" s="512"/>
      <x:c r="AL31" s="512"/>
      <x:c r="AM31" s="512"/>
      <x:c r="AN31" s="512"/>
      <x:c r="AO31" s="514"/>
    </x:row>
    <x:row r="32" ht="19" customHeight="1">
      <x:c r="B32" s="509">
        <x:v>31</x:v>
      </x:c>
      <x:c r="C32" s="512">
        <x:v>28</x:v>
      </x:c>
      <x:c r="D32" s="512">
        <x:v>209</x:v>
      </x:c>
      <x:c r="E32" s="513">
        <x:v>152</x:v>
      </x:c>
      <x:c r="F32" s="513">
        <x:v>164</x:v>
      </x:c>
      <x:c r="G32" s="512">
        <x:v>44</x:v>
      </x:c>
      <x:c r="H32" s="512">
        <x:v>302</x:v>
      </x:c>
      <x:c r="I32" s="512">
        <x:v>320</x:v>
      </x:c>
      <x:c r="J32" s="512">
        <x:v>288</x:v>
      </x:c>
      <x:c r="K32" s="512">
        <x:v>139</x:v>
      </x:c>
      <x:c r="L32" s="512">
        <x:v>167</x:v>
      </x:c>
      <x:c r="M32" s="512">
        <x:v>85</x:v>
      </x:c>
      <x:c r="N32" s="512">
        <x:v>20</x:v>
      </x:c>
      <x:c r="O32" s="512">
        <x:v>26</x:v>
      </x:c>
      <x:c r="P32" s="512">
        <x:v>1</x:v>
      </x:c>
      <x:c r="Q32" s="512">
        <x:v>94</x:v>
      </x:c>
      <x:c r="R32" s="512">
        <x:v>16</x:v>
      </x:c>
      <x:c r="S32" s="512">
        <x:v>72</x:v>
      </x:c>
      <x:c r="T32" s="512">
        <x:v>18</x:v>
      </x:c>
      <x:c r="U32" s="512">
        <x:v>33</x:v>
      </x:c>
      <x:c r="V32" s="512">
        <x:v>9</x:v>
      </x:c>
      <x:c r="W32" s="512">
        <x:v>17</x:v>
      </x:c>
      <x:c r="X32" s="512">
        <x:v>7</x:v>
      </x:c>
      <x:c r="Y32" s="512">
        <x:v>5</x:v>
      </x:c>
      <x:c r="Z32" s="512"/>
      <x:c r="AA32" s="512"/>
      <x:c r="AB32" s="512"/>
      <x:c r="AC32" s="512"/>
      <x:c r="AD32" s="512"/>
      <x:c r="AE32" s="512"/>
      <x:c r="AF32" s="512"/>
      <x:c r="AG32" s="512"/>
      <x:c r="AH32" s="512"/>
      <x:c r="AI32" s="512"/>
      <x:c r="AJ32" s="512"/>
      <x:c r="AK32" s="512"/>
      <x:c r="AL32" s="512"/>
      <x:c r="AM32" s="512"/>
      <x:c r="AN32" s="512"/>
      <x:c r="AO32" s="514"/>
    </x:row>
    <x:row r="33" ht="19" customHeight="1">
      <x:c r="B33" s="509">
        <x:v>32</x:v>
      </x:c>
      <x:c r="C33" s="512">
        <x:v>93</x:v>
      </x:c>
      <x:c r="D33" s="512">
        <x:v>46</x:v>
      </x:c>
      <x:c r="E33" s="513">
        <x:v>148</x:v>
      </x:c>
      <x:c r="F33" s="513">
        <x:v>38</x:v>
      </x:c>
      <x:c r="G33" s="512">
        <x:v>25</x:v>
      </x:c>
      <x:c r="H33" s="512">
        <x:v>54</x:v>
      </x:c>
      <x:c r="I33" s="512">
        <x:v>38</x:v>
      </x:c>
      <x:c r="J33" s="512">
        <x:v>43</x:v>
      </x:c>
      <x:c r="K33" s="512">
        <x:v>41</x:v>
      </x:c>
      <x:c r="L33" s="512">
        <x:v>36</x:v>
      </x:c>
      <x:c r="M33" s="512">
        <x:v>18</x:v>
      </x:c>
      <x:c r="N33" s="512">
        <x:v>14</x:v>
      </x:c>
      <x:c r="O33" s="512">
        <x:v>8</x:v>
      </x:c>
      <x:c r="P33" s="512">
        <x:v>10</x:v>
      </x:c>
      <x:c r="Q33" s="517">
        <x:v>18</x:v>
      </x:c>
      <x:c r="R33" s="517">
        <x:v>23</x:v>
      </x:c>
      <x:c r="S33" s="517">
        <x:v>4</x:v>
      </x:c>
      <x:c r="T33" s="517">
        <x:v>12</x:v>
      </x:c>
      <x:c r="U33" s="517">
        <x:v>7</x:v>
      </x:c>
      <x:c r="V33" s="512">
        <x:v>9</x:v>
      </x:c>
      <x:c r="W33" s="512">
        <x:v>11</x:v>
      </x:c>
      <x:c r="X33" s="512">
        <x:v>26</x:v>
      </x:c>
      <x:c r="Y33" s="512">
        <x:v>8</x:v>
      </x:c>
      <x:c r="Z33" s="512"/>
      <x:c r="AA33" s="512"/>
      <x:c r="AB33" s="512"/>
      <x:c r="AC33" s="512"/>
      <x:c r="AD33" s="512"/>
      <x:c r="AE33" s="512"/>
      <x:c r="AF33" s="512"/>
      <x:c r="AG33" s="512"/>
      <x:c r="AH33" s="512"/>
      <x:c r="AI33" s="512"/>
      <x:c r="AJ33" s="512"/>
      <x:c r="AK33" s="512"/>
      <x:c r="AL33" s="512"/>
      <x:c r="AM33" s="512"/>
      <x:c r="AN33" s="512"/>
      <x:c r="AO33" s="514"/>
    </x:row>
    <x:row r="34" ht="19" customHeight="1">
      <x:c r="B34" s="509">
        <x:v>33</x:v>
      </x:c>
      <x:c r="C34" s="512">
        <x:v>522</x:v>
      </x:c>
      <x:c r="D34" s="512">
        <x:v>431</x:v>
      </x:c>
      <x:c r="E34" s="513">
        <x:v>292</x:v>
      </x:c>
      <x:c r="F34" s="513">
        <x:v>56</x:v>
      </x:c>
      <x:c r="G34" s="512">
        <x:v>96</x:v>
      </x:c>
      <x:c r="H34" s="512">
        <x:v>11</x:v>
      </x:c>
      <x:c r="I34" s="512">
        <x:v>21</x:v>
      </x:c>
      <x:c r="J34" s="512">
        <x:v>0</x:v>
      </x:c>
      <x:c r="K34" s="512">
        <x:v>32</x:v>
      </x:c>
      <x:c r="L34" s="512">
        <x:v>0</x:v>
      </x:c>
      <x:c r="M34" s="512">
        <x:v>0</x:v>
      </x:c>
      <x:c r="N34" s="512">
        <x:v>20</x:v>
      </x:c>
      <x:c r="O34" s="512">
        <x:v>17</x:v>
      </x:c>
      <x:c r="P34" s="512">
        <x:v>3</x:v>
      </x:c>
      <x:c r="Q34" s="517">
        <x:v>3</x:v>
      </x:c>
      <x:c r="R34" s="517">
        <x:v>41</x:v>
      </x:c>
      <x:c r="S34" s="517">
        <x:v>64</x:v>
      </x:c>
      <x:c r="T34" s="517">
        <x:v>58</x:v>
      </x:c>
      <x:c r="U34" s="517">
        <x:v>85</x:v>
      </x:c>
      <x:c r="V34" s="512">
        <x:v>166</x:v>
      </x:c>
      <x:c r="W34" s="512">
        <x:v>117</x:v>
      </x:c>
      <x:c r="X34" s="512">
        <x:v>80</x:v>
      </x:c>
      <x:c r="Y34" s="512">
        <x:v>110</x:v>
      </x:c>
      <x:c r="Z34" s="512"/>
      <x:c r="AA34" s="512"/>
      <x:c r="AB34" s="512"/>
      <x:c r="AC34" s="512"/>
      <x:c r="AD34" s="512"/>
      <x:c r="AE34" s="512"/>
      <x:c r="AF34" s="512"/>
      <x:c r="AG34" s="512"/>
      <x:c r="AH34" s="512"/>
      <x:c r="AI34" s="512"/>
      <x:c r="AJ34" s="512"/>
      <x:c r="AK34" s="512"/>
      <x:c r="AL34" s="512"/>
      <x:c r="AM34" s="512"/>
      <x:c r="AN34" s="512"/>
      <x:c r="AO34" s="514"/>
    </x:row>
    <x:row r="35" ht="19" customHeight="1">
      <x:c r="B35" s="509">
        <x:v>34</x:v>
      </x:c>
      <x:c r="C35" s="512">
        <x:v>241</x:v>
      </x:c>
      <x:c r="D35" s="512">
        <x:v>43</x:v>
      </x:c>
      <x:c r="E35" s="513">
        <x:v>0</x:v>
      </x:c>
      <x:c r="F35" s="513">
        <x:v>0</x:v>
      </x:c>
      <x:c r="G35" s="512">
        <x:v>18</x:v>
      </x:c>
      <x:c r="H35" s="512">
        <x:v>71</x:v>
      </x:c>
      <x:c r="I35" s="512">
        <x:v>78</x:v>
      </x:c>
      <x:c r="J35" s="512">
        <x:v>237</x:v>
      </x:c>
      <x:c r="K35" s="512">
        <x:v>63</x:v>
      </x:c>
      <x:c r="L35" s="512">
        <x:v>4</x:v>
      </x:c>
      <x:c r="M35" s="512">
        <x:v>268</x:v>
      </x:c>
      <x:c r="N35" s="512">
        <x:v>95</x:v>
      </x:c>
      <x:c r="O35" s="512">
        <x:v>231</x:v>
      </x:c>
      <x:c r="P35" s="512">
        <x:v>69</x:v>
      </x:c>
      <x:c r="Q35" s="517">
        <x:v>69</x:v>
      </x:c>
      <x:c r="R35" s="517">
        <x:v>109</x:v>
      </x:c>
      <x:c r="S35" s="517">
        <x:v>92</x:v>
      </x:c>
      <x:c r="T35" s="517">
        <x:v>132</x:v>
      </x:c>
      <x:c r="U35" s="517">
        <x:v>169</x:v>
      </x:c>
      <x:c r="V35" s="512">
        <x:v>182</x:v>
      </x:c>
      <x:c r="W35" s="512">
        <x:v>285</x:v>
      </x:c>
      <x:c r="X35" s="512">
        <x:v>359</x:v>
      </x:c>
      <x:c r="Y35" s="512">
        <x:v>209</x:v>
      </x:c>
      <x:c r="Z35" s="512"/>
      <x:c r="AA35" s="512"/>
      <x:c r="AB35" s="512"/>
      <x:c r="AC35" s="512"/>
      <x:c r="AD35" s="512"/>
      <x:c r="AE35" s="512"/>
      <x:c r="AF35" s="512"/>
      <x:c r="AG35" s="512"/>
      <x:c r="AH35" s="512"/>
      <x:c r="AI35" s="512"/>
      <x:c r="AJ35" s="512"/>
      <x:c r="AK35" s="512"/>
      <x:c r="AL35" s="512"/>
      <x:c r="AM35" s="512"/>
      <x:c r="AN35" s="512"/>
      <x:c r="AO35" s="514"/>
    </x:row>
    <x:row r="36" ht="19" customHeight="1">
      <x:c r="B36" s="509">
        <x:v>35</x:v>
      </x:c>
      <x:c r="C36" s="512">
        <x:v>691</x:v>
      </x:c>
      <x:c r="D36" s="512">
        <x:v>316</x:v>
      </x:c>
      <x:c r="E36" s="513">
        <x:v>998</x:v>
      </x:c>
      <x:c r="F36" s="513">
        <x:v>704</x:v>
      </x:c>
      <x:c r="G36" s="512">
        <x:v>497</x:v>
      </x:c>
      <x:c r="H36" s="512">
        <x:v>426</x:v>
      </x:c>
      <x:c r="I36" s="512">
        <x:v>409</x:v>
      </x:c>
      <x:c r="J36" s="512">
        <x:v>114</x:v>
      </x:c>
      <x:c r="K36" s="512">
        <x:v>224</x:v>
      </x:c>
      <x:c r="L36" s="512">
        <x:v>128</x:v>
      </x:c>
      <x:c r="M36" s="512">
        <x:v>68</x:v>
      </x:c>
      <x:c r="N36" s="512">
        <x:v>124</x:v>
      </x:c>
      <x:c r="O36" s="512">
        <x:v>73</x:v>
      </x:c>
      <x:c r="P36" s="512">
        <x:v>87</x:v>
      </x:c>
      <x:c r="Q36" s="517">
        <x:v>151</x:v>
      </x:c>
      <x:c r="R36" s="517">
        <x:v>51</x:v>
      </x:c>
      <x:c r="S36" s="517">
        <x:v>59</x:v>
      </x:c>
      <x:c r="T36" s="517">
        <x:v>36</x:v>
      </x:c>
      <x:c r="U36" s="517">
        <x:v>38</x:v>
      </x:c>
      <x:c r="V36" s="512">
        <x:v>39</x:v>
      </x:c>
      <x:c r="W36" s="512">
        <x:v>35</x:v>
      </x:c>
      <x:c r="X36" s="512">
        <x:v>25</x:v>
      </x:c>
      <x:c r="Y36" s="512">
        <x:v>1</x:v>
      </x:c>
      <x:c r="Z36" s="512"/>
      <x:c r="AA36" s="512"/>
      <x:c r="AB36" s="512"/>
      <x:c r="AC36" s="512"/>
      <x:c r="AD36" s="512"/>
      <x:c r="AE36" s="512"/>
      <x:c r="AF36" s="512"/>
      <x:c r="AG36" s="512"/>
      <x:c r="AH36" s="512"/>
      <x:c r="AI36" s="512"/>
      <x:c r="AJ36" s="512"/>
      <x:c r="AK36" s="512"/>
      <x:c r="AL36" s="512"/>
      <x:c r="AM36" s="512"/>
      <x:c r="AN36" s="512"/>
      <x:c r="AO36" s="514"/>
    </x:row>
    <x:row r="37" ht="19" customHeight="1">
      <x:c r="B37" s="509">
        <x:v>36</x:v>
      </x:c>
      <x:c r="C37" s="512">
        <x:v>25</x:v>
      </x:c>
      <x:c r="D37" s="512">
        <x:v>26</x:v>
      </x:c>
      <x:c r="E37" s="513">
        <x:v>126</x:v>
      </x:c>
      <x:c r="F37" s="513">
        <x:v>42</x:v>
      </x:c>
      <x:c r="G37" s="512">
        <x:v>8</x:v>
      </x:c>
      <x:c r="H37" s="512">
        <x:v>69</x:v>
      </x:c>
      <x:c r="I37" s="512">
        <x:v>56</x:v>
      </x:c>
      <x:c r="J37" s="512">
        <x:v>28</x:v>
      </x:c>
      <x:c r="K37" s="512">
        <x:v>26</x:v>
      </x:c>
      <x:c r="L37" s="512">
        <x:v>10</x:v>
      </x:c>
      <x:c r="M37" s="512">
        <x:v>45</x:v>
      </x:c>
      <x:c r="N37" s="512">
        <x:v>48</x:v>
      </x:c>
      <x:c r="O37" s="512">
        <x:v>41</x:v>
      </x:c>
      <x:c r="P37" s="512">
        <x:v>30</x:v>
      </x:c>
      <x:c r="Q37" s="517">
        <x:v>115</x:v>
      </x:c>
      <x:c r="R37" s="517">
        <x:v>150</x:v>
      </x:c>
      <x:c r="S37" s="517">
        <x:v>228</x:v>
      </x:c>
      <x:c r="T37" s="517">
        <x:v>82</x:v>
      </x:c>
      <x:c r="U37" s="517">
        <x:v>474</x:v>
      </x:c>
      <x:c r="V37" s="512">
        <x:v>208</x:v>
      </x:c>
      <x:c r="W37" s="512">
        <x:v>88</x:v>
      </x:c>
      <x:c r="X37" s="512">
        <x:v>66</x:v>
      </x:c>
      <x:c r="Y37" s="512">
        <x:v>135</x:v>
      </x:c>
      <x:c r="Z37" s="512"/>
      <x:c r="AA37" s="512"/>
      <x:c r="AB37" s="512"/>
      <x:c r="AC37" s="512"/>
      <x:c r="AD37" s="512"/>
      <x:c r="AE37" s="512"/>
      <x:c r="AF37" s="512"/>
      <x:c r="AG37" s="512"/>
      <x:c r="AH37" s="512"/>
      <x:c r="AI37" s="512"/>
      <x:c r="AJ37" s="512"/>
      <x:c r="AK37" s="512"/>
      <x:c r="AL37" s="512"/>
      <x:c r="AM37" s="512"/>
      <x:c r="AN37" s="512"/>
      <x:c r="AO37" s="514"/>
    </x:row>
    <x:row r="38" ht="19" customHeight="1">
      <x:c r="B38" s="509">
        <x:v>37</x:v>
      </x:c>
      <x:c r="C38" s="512">
        <x:v>764</x:v>
      </x:c>
      <x:c r="D38" s="512">
        <x:v>1393</x:v>
      </x:c>
      <x:c r="E38" s="513">
        <x:v>2147</x:v>
      </x:c>
      <x:c r="F38" s="513">
        <x:v>49</x:v>
      </x:c>
      <x:c r="G38" s="512">
        <x:v>75</x:v>
      </x:c>
      <x:c r="H38" s="512">
        <x:v>45</x:v>
      </x:c>
      <x:c r="I38" s="512">
        <x:v>65</x:v>
      </x:c>
      <x:c r="J38" s="512">
        <x:v>76</x:v>
      </x:c>
      <x:c r="K38" s="512">
        <x:v>300</x:v>
      </x:c>
      <x:c r="L38" s="512">
        <x:v>257</x:v>
      </x:c>
      <x:c r="M38" s="512">
        <x:v>92</x:v>
      </x:c>
      <x:c r="N38" s="512">
        <x:v>329</x:v>
      </x:c>
      <x:c r="O38" s="512">
        <x:v>73</x:v>
      </x:c>
      <x:c r="P38" s="512">
        <x:v>67</x:v>
      </x:c>
      <x:c r="Q38" s="517">
        <x:v>141</x:v>
      </x:c>
      <x:c r="R38" s="517">
        <x:v>181</x:v>
      </x:c>
      <x:c r="S38" s="517">
        <x:v>291</x:v>
      </x:c>
      <x:c r="T38" s="517">
        <x:v>48</x:v>
      </x:c>
      <x:c r="U38" s="517">
        <x:v>10</x:v>
      </x:c>
      <x:c r="V38" s="512">
        <x:v>66</x:v>
      </x:c>
      <x:c r="W38" s="512">
        <x:v>54</x:v>
      </x:c>
      <x:c r="X38" s="512">
        <x:v>56</x:v>
      </x:c>
      <x:c r="Y38" s="512">
        <x:v>51</x:v>
      </x:c>
      <x:c r="Z38" s="512"/>
      <x:c r="AA38" s="512"/>
      <x:c r="AB38" s="512"/>
      <x:c r="AC38" s="512"/>
      <x:c r="AD38" s="512"/>
      <x:c r="AE38" s="512"/>
      <x:c r="AF38" s="512"/>
      <x:c r="AG38" s="512"/>
      <x:c r="AH38" s="512"/>
      <x:c r="AI38" s="512"/>
      <x:c r="AJ38" s="512"/>
      <x:c r="AK38" s="512"/>
      <x:c r="AL38" s="512"/>
      <x:c r="AM38" s="512"/>
      <x:c r="AN38" s="512"/>
      <x:c r="AO38" s="514"/>
    </x:row>
    <x:row r="39" ht="19" customHeight="1">
      <x:c r="B39" s="509">
        <x:v>38</x:v>
      </x:c>
      <x:c r="C39" s="512">
        <x:v>1060</x:v>
      </x:c>
      <x:c r="D39" s="512">
        <x:v>844</x:v>
      </x:c>
      <x:c r="E39" s="513">
        <x:v>2285</x:v>
      </x:c>
      <x:c r="F39" s="513">
        <x:v>6</x:v>
      </x:c>
      <x:c r="G39" s="512">
        <x:v>25</x:v>
      </x:c>
      <x:c r="H39" s="512">
        <x:v>55</x:v>
      </x:c>
      <x:c r="I39" s="512">
        <x:v>32</x:v>
      </x:c>
      <x:c r="J39" s="512">
        <x:v>91</x:v>
      </x:c>
      <x:c r="K39" s="512">
        <x:v>24</x:v>
      </x:c>
      <x:c r="L39" s="512">
        <x:v>34</x:v>
      </x:c>
      <x:c r="M39" s="512">
        <x:v>13</x:v>
      </x:c>
      <x:c r="N39" s="512">
        <x:v>28</x:v>
      </x:c>
      <x:c r="O39" s="512">
        <x:v>18</x:v>
      </x:c>
      <x:c r="P39" s="512">
        <x:v>38</x:v>
      </x:c>
      <x:c r="Q39" s="517">
        <x:v>17</x:v>
      </x:c>
      <x:c r="R39" s="517">
        <x:v>6</x:v>
      </x:c>
      <x:c r="S39" s="517">
        <x:v>12</x:v>
      </x:c>
      <x:c r="T39" s="517">
        <x:v>25</x:v>
      </x:c>
      <x:c r="U39" s="518">
        <x:v>64</x:v>
      </x:c>
      <x:c r="V39" s="512">
        <x:v>32</x:v>
      </x:c>
      <x:c r="W39" s="512">
        <x:v>22</x:v>
      </x:c>
      <x:c r="X39" s="512">
        <x:v>17</x:v>
      </x:c>
      <x:c r="Y39" s="512">
        <x:v>19</x:v>
      </x:c>
      <x:c r="Z39" s="512"/>
      <x:c r="AA39" s="512"/>
      <x:c r="AB39" s="512"/>
      <x:c r="AC39" s="512"/>
      <x:c r="AD39" s="512"/>
      <x:c r="AE39" s="512"/>
      <x:c r="AF39" s="512"/>
      <x:c r="AG39" s="512"/>
      <x:c r="AH39" s="512"/>
      <x:c r="AI39" s="512"/>
      <x:c r="AJ39" s="512"/>
      <x:c r="AK39" s="512"/>
      <x:c r="AL39" s="512"/>
      <x:c r="AM39" s="512"/>
      <x:c r="AN39" s="512"/>
      <x:c r="AO39" s="514"/>
    </x:row>
    <x:row r="40" ht="19" customHeight="1">
      <x:c r="B40" s="509">
        <x:v>39</x:v>
      </x:c>
      <x:c r="C40" s="512">
        <x:v>207</x:v>
      </x:c>
      <x:c r="D40" s="512">
        <x:v>58</x:v>
      </x:c>
      <x:c r="E40" s="513">
        <x:v>360</x:v>
      </x:c>
      <x:c r="F40" s="513">
        <x:v>663</x:v>
      </x:c>
      <x:c r="G40" s="512">
        <x:v>591</x:v>
      </x:c>
      <x:c r="H40" s="512">
        <x:v>1111</x:v>
      </x:c>
      <x:c r="I40" s="512">
        <x:v>706</x:v>
      </x:c>
      <x:c r="J40" s="512">
        <x:v>531</x:v>
      </x:c>
      <x:c r="K40" s="512">
        <x:v>405</x:v>
      </x:c>
      <x:c r="L40" s="512">
        <x:v>142</x:v>
      </x:c>
      <x:c r="M40" s="512">
        <x:v>5</x:v>
      </x:c>
      <x:c r="N40" s="512">
        <x:v>27</x:v>
      </x:c>
      <x:c r="O40" s="512">
        <x:v>126</x:v>
      </x:c>
      <x:c r="P40" s="512">
        <x:v>43</x:v>
      </x:c>
      <x:c r="Q40" s="517">
        <x:v>88</x:v>
      </x:c>
      <x:c r="R40" s="517">
        <x:v>43</x:v>
      </x:c>
      <x:c r="S40" s="517">
        <x:v>48</x:v>
      </x:c>
      <x:c r="T40" s="517">
        <x:v>31</x:v>
      </x:c>
      <x:c r="U40" s="517">
        <x:v>37</x:v>
      </x:c>
      <x:c r="V40" s="512">
        <x:v>39</x:v>
      </x:c>
      <x:c r="W40" s="512">
        <x:v>21</x:v>
      </x:c>
      <x:c r="X40" s="512">
        <x:v>1</x:v>
      </x:c>
      <x:c r="Y40" s="512">
        <x:v>90</x:v>
      </x:c>
      <x:c r="Z40" s="512"/>
      <x:c r="AA40" s="512"/>
      <x:c r="AB40" s="512"/>
      <x:c r="AC40" s="512"/>
      <x:c r="AD40" s="512"/>
      <x:c r="AE40" s="512"/>
      <x:c r="AF40" s="512"/>
      <x:c r="AG40" s="512"/>
      <x:c r="AH40" s="512"/>
      <x:c r="AI40" s="512"/>
      <x:c r="AJ40" s="512"/>
      <x:c r="AK40" s="512"/>
      <x:c r="AL40" s="512"/>
      <x:c r="AM40" s="512"/>
      <x:c r="AN40" s="512"/>
      <x:c r="AO40" s="514"/>
    </x:row>
    <x:row r="41" ht="19" customHeight="1">
      <x:c r="B41" s="509">
        <x:v>40</x:v>
      </x:c>
      <x:c r="C41" s="512">
        <x:v>87</x:v>
      </x:c>
      <x:c r="D41" s="512">
        <x:v>49</x:v>
      </x:c>
      <x:c r="E41" s="513">
        <x:v>108</x:v>
      </x:c>
      <x:c r="F41" s="513">
        <x:v>28</x:v>
      </x:c>
      <x:c r="G41" s="512">
        <x:v>83</x:v>
      </x:c>
      <x:c r="H41" s="512">
        <x:v>54</x:v>
      </x:c>
      <x:c r="I41" s="512">
        <x:v>53</x:v>
      </x:c>
      <x:c r="J41" s="512">
        <x:v>45</x:v>
      </x:c>
      <x:c r="K41" s="512">
        <x:v>88</x:v>
      </x:c>
      <x:c r="L41" s="512">
        <x:v>41</x:v>
      </x:c>
      <x:c r="M41" s="512">
        <x:v>144</x:v>
      </x:c>
      <x:c r="N41" s="512">
        <x:v>174</x:v>
      </x:c>
      <x:c r="O41" s="512">
        <x:v>134</x:v>
      </x:c>
      <x:c r="P41" s="512">
        <x:v>90</x:v>
      </x:c>
      <x:c r="Q41" s="517">
        <x:v>24</x:v>
      </x:c>
      <x:c r="R41" s="517">
        <x:v>34</x:v>
      </x:c>
      <x:c r="S41" s="517">
        <x:v>30</x:v>
      </x:c>
      <x:c r="T41" s="517">
        <x:v>33</x:v>
      </x:c>
      <x:c r="U41" s="518">
        <x:v>386</x:v>
      </x:c>
      <x:c r="V41" s="512">
        <x:v>206</x:v>
      </x:c>
      <x:c r="W41" s="512">
        <x:v>176</x:v>
      </x:c>
      <x:c r="X41" s="512">
        <x:v>74</x:v>
      </x:c>
      <x:c r="Y41" s="512">
        <x:v>51</x:v>
      </x:c>
      <x:c r="Z41" s="512"/>
      <x:c r="AA41" s="512"/>
      <x:c r="AB41" s="512"/>
      <x:c r="AC41" s="512"/>
      <x:c r="AD41" s="512"/>
      <x:c r="AE41" s="512"/>
      <x:c r="AF41" s="512"/>
      <x:c r="AG41" s="512"/>
      <x:c r="AH41" s="512"/>
      <x:c r="AI41" s="512"/>
      <x:c r="AJ41" s="512"/>
      <x:c r="AK41" s="512"/>
      <x:c r="AL41" s="512"/>
      <x:c r="AM41" s="512"/>
      <x:c r="AN41" s="512"/>
      <x:c r="AO41" s="514"/>
    </x:row>
    <x:row r="42" ht="19" customHeight="1">
      <x:c r="B42" s="509">
        <x:v>41</x:v>
      </x:c>
      <x:c r="C42" s="512">
        <x:v>210</x:v>
      </x:c>
      <x:c r="D42" s="512">
        <x:v>256</x:v>
      </x:c>
      <x:c r="E42" s="513">
        <x:v>257</x:v>
      </x:c>
      <x:c r="F42" s="513">
        <x:v>130</x:v>
      </x:c>
      <x:c r="G42" s="512">
        <x:v>743</x:v>
      </x:c>
      <x:c r="H42" s="512">
        <x:v>322</x:v>
      </x:c>
      <x:c r="I42" s="512">
        <x:v>587</x:v>
      </x:c>
      <x:c r="J42" s="512">
        <x:v>486</x:v>
      </x:c>
      <x:c r="K42" s="512">
        <x:v>256</x:v>
      </x:c>
      <x:c r="L42" s="512">
        <x:v>256</x:v>
      </x:c>
      <x:c r="M42" s="512">
        <x:v>510</x:v>
      </x:c>
      <x:c r="N42" s="512">
        <x:v>165</x:v>
      </x:c>
      <x:c r="O42" s="512">
        <x:v>652</x:v>
      </x:c>
      <x:c r="P42" s="512">
        <x:v>563</x:v>
      </x:c>
      <x:c r="Q42" s="517">
        <x:v>1002</x:v>
      </x:c>
      <x:c r="R42" s="517">
        <x:v>770</x:v>
      </x:c>
      <x:c r="S42" s="517">
        <x:v>623</x:v>
      </x:c>
      <x:c r="T42" s="517">
        <x:v>703</x:v>
      </x:c>
      <x:c r="U42" s="518">
        <x:v>237</x:v>
      </x:c>
      <x:c r="V42" s="512">
        <x:v>682</x:v>
      </x:c>
      <x:c r="W42" s="512">
        <x:v>425</x:v>
      </x:c>
      <x:c r="X42" s="512">
        <x:v>641</x:v>
      </x:c>
      <x:c r="Y42" s="512">
        <x:v>838</x:v>
      </x:c>
      <x:c r="Z42" s="512"/>
      <x:c r="AA42" s="512"/>
      <x:c r="AB42" s="512"/>
      <x:c r="AC42" s="512"/>
      <x:c r="AD42" s="512"/>
      <x:c r="AE42" s="512"/>
      <x:c r="AF42" s="512"/>
      <x:c r="AG42" s="512"/>
      <x:c r="AH42" s="512"/>
      <x:c r="AI42" s="512"/>
      <x:c r="AJ42" s="512"/>
      <x:c r="AK42" s="512"/>
      <x:c r="AL42" s="512"/>
      <x:c r="AM42" s="512"/>
      <x:c r="AN42" s="512"/>
      <x:c r="AO42" s="514"/>
    </x:row>
    <x:row r="43" ht="19" customHeight="1">
      <x:c r="B43" s="509">
        <x:v>42</x:v>
      </x:c>
      <x:c r="C43" s="512">
        <x:v>114</x:v>
      </x:c>
      <x:c r="D43" s="512">
        <x:v>150</x:v>
      </x:c>
      <x:c r="E43" s="513">
        <x:v>247</x:v>
      </x:c>
      <x:c r="F43" s="513">
        <x:v>38</x:v>
      </x:c>
      <x:c r="G43" s="512">
        <x:v>20</x:v>
      </x:c>
      <x:c r="H43" s="512">
        <x:v>52</x:v>
      </x:c>
      <x:c r="I43" s="512">
        <x:v>69</x:v>
      </x:c>
      <x:c r="J43" s="512">
        <x:v>62</x:v>
      </x:c>
      <x:c r="K43" s="512">
        <x:v>73</x:v>
      </x:c>
      <x:c r="L43" s="512">
        <x:v>17</x:v>
      </x:c>
      <x:c r="M43" s="512">
        <x:v>36</x:v>
      </x:c>
      <x:c r="N43" s="512">
        <x:v>15</x:v>
      </x:c>
      <x:c r="O43" s="512">
        <x:v>35</x:v>
      </x:c>
      <x:c r="P43" s="512">
        <x:v>58</x:v>
      </x:c>
      <x:c r="Q43" s="517">
        <x:v>39</x:v>
      </x:c>
      <x:c r="R43" s="517">
        <x:v>164</x:v>
      </x:c>
      <x:c r="S43" s="517">
        <x:v>34</x:v>
      </x:c>
      <x:c r="T43" s="517">
        <x:v>0</x:v>
      </x:c>
      <x:c r="U43" s="517">
        <x:v>0</x:v>
      </x:c>
      <x:c r="V43" s="512">
        <x:v>227</x:v>
      </x:c>
      <x:c r="W43" s="512">
        <x:v>119</x:v>
      </x:c>
      <x:c r="X43" s="512">
        <x:v>40</x:v>
      </x:c>
      <x:c r="Y43" s="512">
        <x:v>102</x:v>
      </x:c>
      <x:c r="Z43" s="512"/>
      <x:c r="AA43" s="512"/>
      <x:c r="AB43" s="512"/>
      <x:c r="AC43" s="512"/>
      <x:c r="AD43" s="512"/>
      <x:c r="AE43" s="512"/>
      <x:c r="AF43" s="512"/>
      <x:c r="AG43" s="512"/>
      <x:c r="AH43" s="512"/>
      <x:c r="AI43" s="512"/>
      <x:c r="AJ43" s="512"/>
      <x:c r="AK43" s="512"/>
      <x:c r="AL43" s="512"/>
      <x:c r="AM43" s="512"/>
      <x:c r="AN43" s="512"/>
      <x:c r="AO43" s="514"/>
    </x:row>
    <x:row r="44" ht="19" customHeight="1">
      <x:c r="B44" s="509">
        <x:v>43</x:v>
      </x:c>
      <x:c r="C44" s="512">
        <x:v>252</x:v>
      </x:c>
      <x:c r="D44" s="512">
        <x:v>198</x:v>
      </x:c>
      <x:c r="E44" s="513">
        <x:v>212</x:v>
      </x:c>
      <x:c r="F44" s="513">
        <x:v>85</x:v>
      </x:c>
      <x:c r="G44" s="512">
        <x:v>197</x:v>
      </x:c>
      <x:c r="H44" s="512">
        <x:v>377</x:v>
      </x:c>
      <x:c r="I44" s="512">
        <x:v>264</x:v>
      </x:c>
      <x:c r="J44" s="512">
        <x:v>290</x:v>
      </x:c>
      <x:c r="K44" s="512">
        <x:v>355</x:v>
      </x:c>
      <x:c r="L44" s="512">
        <x:v>155</x:v>
      </x:c>
      <x:c r="M44" s="512">
        <x:v>263</x:v>
      </x:c>
      <x:c r="N44" s="512">
        <x:v>903</x:v>
      </x:c>
      <x:c r="O44" s="512">
        <x:v>318</x:v>
      </x:c>
      <x:c r="P44" s="512">
        <x:v>389</x:v>
      </x:c>
      <x:c r="Q44" s="517">
        <x:v>164</x:v>
      </x:c>
      <x:c r="R44" s="517">
        <x:v>264</x:v>
      </x:c>
      <x:c r="S44" s="517">
        <x:v>347</x:v>
      </x:c>
      <x:c r="T44" s="517">
        <x:v>304</x:v>
      </x:c>
      <x:c r="U44" s="517">
        <x:v>431</x:v>
      </x:c>
      <x:c r="V44" s="512">
        <x:v>885</x:v>
      </x:c>
      <x:c r="W44" s="512">
        <x:v>275</x:v>
      </x:c>
      <x:c r="X44" s="512">
        <x:v>564</x:v>
      </x:c>
      <x:c r="Y44" s="512">
        <x:v>526</x:v>
      </x:c>
      <x:c r="Z44" s="512"/>
      <x:c r="AA44" s="512"/>
      <x:c r="AB44" s="512"/>
      <x:c r="AC44" s="512"/>
      <x:c r="AD44" s="512"/>
      <x:c r="AE44" s="512"/>
      <x:c r="AF44" s="512"/>
      <x:c r="AG44" s="512"/>
      <x:c r="AH44" s="512"/>
      <x:c r="AI44" s="512"/>
      <x:c r="AJ44" s="512"/>
      <x:c r="AK44" s="512"/>
      <x:c r="AL44" s="512"/>
      <x:c r="AM44" s="512"/>
      <x:c r="AN44" s="512"/>
      <x:c r="AO44" s="514"/>
    </x:row>
    <x:row r="45" ht="19" customHeight="1">
      <x:c r="B45" s="509">
        <x:v>44</x:v>
      </x:c>
      <x:c r="C45" s="512">
        <x:v>221</x:v>
      </x:c>
      <x:c r="D45" s="512">
        <x:v>615</x:v>
      </x:c>
      <x:c r="E45" s="513">
        <x:v>1096</x:v>
      </x:c>
      <x:c r="F45" s="513">
        <x:v>606</x:v>
      </x:c>
      <x:c r="G45" s="512">
        <x:v>313</x:v>
      </x:c>
      <x:c r="H45" s="512">
        <x:v>522</x:v>
      </x:c>
      <x:c r="I45" s="512">
        <x:v>487</x:v>
      </x:c>
      <x:c r="J45" s="512">
        <x:v>403</x:v>
      </x:c>
      <x:c r="K45" s="512">
        <x:v>536</x:v>
      </x:c>
      <x:c r="L45" s="512">
        <x:v>90</x:v>
      </x:c>
      <x:c r="M45" s="512">
        <x:v>0</x:v>
      </x:c>
      <x:c r="N45" s="512">
        <x:v>0</x:v>
      </x:c>
      <x:c r="O45" s="512">
        <x:v>1</x:v>
      </x:c>
      <x:c r="P45" s="512">
        <x:v>0</x:v>
      </x:c>
      <x:c r="Q45" s="517">
        <x:v>0</x:v>
      </x:c>
      <x:c r="R45" s="517">
        <x:v>0</x:v>
      </x:c>
      <x:c r="S45" s="517">
        <x:v>0</x:v>
      </x:c>
      <x:c r="T45" s="517">
        <x:v>0</x:v>
      </x:c>
      <x:c r="U45" s="517">
        <x:v>0</x:v>
      </x:c>
      <x:c r="V45" s="512">
        <x:v>0</x:v>
      </x:c>
      <x:c r="W45" s="512">
        <x:v>0</x:v>
      </x:c>
      <x:c r="X45" s="512">
        <x:v>0</x:v>
      </x:c>
      <x:c r="Y45" s="512">
        <x:v>0</x:v>
      </x:c>
      <x:c r="Z45" s="512"/>
      <x:c r="AA45" s="512"/>
      <x:c r="AB45" s="512"/>
      <x:c r="AC45" s="512"/>
      <x:c r="AD45" s="512"/>
      <x:c r="AE45" s="512"/>
      <x:c r="AF45" s="512"/>
      <x:c r="AG45" s="512"/>
      <x:c r="AH45" s="512"/>
      <x:c r="AI45" s="512"/>
      <x:c r="AJ45" s="512"/>
      <x:c r="AK45" s="512"/>
      <x:c r="AL45" s="512"/>
      <x:c r="AM45" s="512"/>
      <x:c r="AN45" s="512"/>
      <x:c r="AO45" s="514"/>
    </x:row>
    <x:row r="46" ht="19" customHeight="1">
      <x:c r="B46" s="509">
        <x:v>45</x:v>
      </x:c>
      <x:c r="C46" s="512">
        <x:v>154</x:v>
      </x:c>
      <x:c r="D46" s="512">
        <x:v>348</x:v>
      </x:c>
      <x:c r="E46" s="513">
        <x:v>611</x:v>
      </x:c>
      <x:c r="F46" s="513">
        <x:v>190</x:v>
      </x:c>
      <x:c r="G46" s="512">
        <x:v>52</x:v>
      </x:c>
      <x:c r="H46" s="512">
        <x:v>173</x:v>
      </x:c>
      <x:c r="I46" s="512">
        <x:v>83</x:v>
      </x:c>
      <x:c r="J46" s="512">
        <x:v>28</x:v>
      </x:c>
      <x:c r="K46" s="512">
        <x:v>87</x:v>
      </x:c>
      <x:c r="L46" s="512">
        <x:v>65</x:v>
      </x:c>
      <x:c r="M46" s="512">
        <x:v>67</x:v>
      </x:c>
      <x:c r="N46" s="512">
        <x:v>121</x:v>
      </x:c>
      <x:c r="O46" s="512">
        <x:v>114</x:v>
      </x:c>
      <x:c r="P46" s="512">
        <x:v>80</x:v>
      </x:c>
      <x:c r="Q46" s="517">
        <x:v>67</x:v>
      </x:c>
      <x:c r="R46" s="517">
        <x:v>91</x:v>
      </x:c>
      <x:c r="S46" s="517">
        <x:v>121</x:v>
      </x:c>
      <x:c r="T46" s="517">
        <x:v>157</x:v>
      </x:c>
      <x:c r="U46" s="517">
        <x:v>135</x:v>
      </x:c>
      <x:c r="V46" s="512">
        <x:v>180</x:v>
      </x:c>
      <x:c r="W46" s="512">
        <x:v>225</x:v>
      </x:c>
      <x:c r="X46" s="512">
        <x:v>140</x:v>
      </x:c>
      <x:c r="Y46" s="512">
        <x:v>95</x:v>
      </x:c>
      <x:c r="Z46" s="512"/>
      <x:c r="AA46" s="512"/>
      <x:c r="AB46" s="512"/>
      <x:c r="AC46" s="512"/>
      <x:c r="AD46" s="512"/>
      <x:c r="AE46" s="512"/>
      <x:c r="AF46" s="512"/>
      <x:c r="AG46" s="512"/>
      <x:c r="AH46" s="512"/>
      <x:c r="AI46" s="512"/>
      <x:c r="AJ46" s="512"/>
      <x:c r="AK46" s="512"/>
      <x:c r="AL46" s="512"/>
      <x:c r="AM46" s="512"/>
      <x:c r="AN46" s="512"/>
      <x:c r="AO46" s="514"/>
    </x:row>
    <x:row r="47" ht="19" customHeight="1">
      <x:c r="B47" s="509">
        <x:v>46</x:v>
      </x:c>
      <x:c r="C47" s="512">
        <x:v>818</x:v>
      </x:c>
      <x:c r="D47" s="512">
        <x:v>997</x:v>
      </x:c>
      <x:c r="E47" s="513">
        <x:v>1529</x:v>
      </x:c>
      <x:c r="F47" s="513">
        <x:v>240</x:v>
      </x:c>
      <x:c r="G47" s="512">
        <x:v>598</x:v>
      </x:c>
      <x:c r="H47" s="512">
        <x:v>232</x:v>
      </x:c>
      <x:c r="I47" s="512">
        <x:v>75</x:v>
      </x:c>
      <x:c r="J47" s="512">
        <x:v>171</x:v>
      </x:c>
      <x:c r="K47" s="512">
        <x:v>383</x:v>
      </x:c>
      <x:c r="L47" s="512">
        <x:v>307</x:v>
      </x:c>
      <x:c r="M47" s="512">
        <x:v>463</x:v>
      </x:c>
      <x:c r="N47" s="512">
        <x:v>1368</x:v>
      </x:c>
      <x:c r="O47" s="512">
        <x:v>960</x:v>
      </x:c>
      <x:c r="P47" s="512">
        <x:v>171</x:v>
      </x:c>
      <x:c r="Q47" s="512">
        <x:v>673</x:v>
      </x:c>
      <x:c r="R47" s="512">
        <x:v>345</x:v>
      </x:c>
      <x:c r="S47" s="512">
        <x:v>324</x:v>
      </x:c>
      <x:c r="T47" s="512">
        <x:v>592</x:v>
      </x:c>
      <x:c r="U47" s="512">
        <x:v>483</x:v>
      </x:c>
      <x:c r="V47" s="512">
        <x:v>330</x:v>
      </x:c>
      <x:c r="W47" s="512">
        <x:v>413</x:v>
      </x:c>
      <x:c r="X47" s="512">
        <x:v>299</x:v>
      </x:c>
      <x:c r="Y47" s="512">
        <x:v>84</x:v>
      </x:c>
      <x:c r="Z47" s="512"/>
      <x:c r="AA47" s="512"/>
      <x:c r="AB47" s="512"/>
      <x:c r="AC47" s="512"/>
      <x:c r="AD47" s="512"/>
      <x:c r="AE47" s="512"/>
      <x:c r="AF47" s="512"/>
      <x:c r="AG47" s="512"/>
      <x:c r="AH47" s="512"/>
      <x:c r="AI47" s="512"/>
      <x:c r="AJ47" s="512"/>
      <x:c r="AK47" s="512"/>
      <x:c r="AL47" s="512"/>
      <x:c r="AM47" s="512"/>
      <x:c r="AN47" s="512"/>
      <x:c r="AO47" s="514"/>
    </x:row>
    <x:row r="48" ht="19" customHeight="1">
      <x:c r="B48" s="509">
        <x:v>47</x:v>
      </x:c>
      <x:c r="C48" s="513">
        <x:v>5493</x:v>
      </x:c>
      <x:c r="D48" s="513">
        <x:v>156</x:v>
      </x:c>
      <x:c r="E48" s="513">
        <x:v>239</x:v>
      </x:c>
      <x:c r="F48" s="513">
        <x:v>165</x:v>
      </x:c>
      <x:c r="G48" s="512">
        <x:v>183</x:v>
      </x:c>
      <x:c r="H48" s="512">
        <x:v>174</x:v>
      </x:c>
      <x:c r="I48" s="512">
        <x:v>169</x:v>
      </x:c>
      <x:c r="J48" s="512">
        <x:v>133</x:v>
      </x:c>
      <x:c r="K48" s="512">
        <x:v>103</x:v>
      </x:c>
      <x:c r="L48" s="512">
        <x:v>111</x:v>
      </x:c>
      <x:c r="M48" s="512">
        <x:v>81</x:v>
      </x:c>
      <x:c r="N48" s="512">
        <x:v>25</x:v>
      </x:c>
      <x:c r="O48" s="512">
        <x:v>77</x:v>
      </x:c>
      <x:c r="P48" s="512">
        <x:v>58</x:v>
      </x:c>
      <x:c r="Q48" s="512">
        <x:v>27</x:v>
      </x:c>
      <x:c r="R48" s="512">
        <x:v>43</x:v>
      </x:c>
      <x:c r="S48" s="512">
        <x:v>13</x:v>
      </x:c>
      <x:c r="T48" s="512">
        <x:v>51</x:v>
      </x:c>
      <x:c r="U48" s="512">
        <x:v>3</x:v>
      </x:c>
      <x:c r="V48" s="512">
        <x:v>49</x:v>
      </x:c>
      <x:c r="W48" s="512">
        <x:v>60</x:v>
      </x:c>
      <x:c r="X48" s="512">
        <x:v>22</x:v>
      </x:c>
      <x:c r="Y48" s="512">
        <x:v>38</x:v>
      </x:c>
      <x:c r="Z48" s="512"/>
      <x:c r="AA48" s="512"/>
      <x:c r="AB48" s="512"/>
      <x:c r="AC48" s="512"/>
      <x:c r="AD48" s="512"/>
      <x:c r="AE48" s="512"/>
      <x:c r="AF48" s="512"/>
      <x:c r="AG48" s="512"/>
      <x:c r="AH48" s="512"/>
      <x:c r="AI48" s="512"/>
      <x:c r="AJ48" s="512"/>
      <x:c r="AK48" s="512"/>
      <x:c r="AL48" s="512"/>
      <x:c r="AM48" s="512"/>
      <x:c r="AN48" s="512"/>
      <x:c r="AO48" s="514"/>
    </x:row>
    <x:row r="49" ht="19" customHeight="1">
      <x:c r="B49" s="509">
        <x:v>48</x:v>
      </x:c>
      <x:c r="C49" s="519"/>
      <x:c r="D49" s="519"/>
      <x:c r="E49" s="513">
        <x:v>40</x:v>
      </x:c>
      <x:c r="F49" s="513">
        <x:v>433</x:v>
      </x:c>
      <x:c r="G49" s="512">
        <x:v>281</x:v>
      </x:c>
      <x:c r="H49" s="512">
        <x:v>59</x:v>
      </x:c>
      <x:c r="I49" s="512">
        <x:v>38</x:v>
      </x:c>
      <x:c r="J49" s="512">
        <x:v>64</x:v>
      </x:c>
      <x:c r="K49" s="512">
        <x:v>288</x:v>
      </x:c>
      <x:c r="L49" s="512">
        <x:v>183</x:v>
      </x:c>
      <x:c r="M49" s="512">
        <x:v>119</x:v>
      </x:c>
      <x:c r="N49" s="512">
        <x:v>89</x:v>
      </x:c>
      <x:c r="O49" s="512">
        <x:v>62</x:v>
      </x:c>
      <x:c r="P49" s="512">
        <x:v>35</x:v>
      </x:c>
      <x:c r="Q49" s="512">
        <x:v>68</x:v>
      </x:c>
      <x:c r="R49" s="512">
        <x:v>134</x:v>
      </x:c>
      <x:c r="S49" s="512">
        <x:v>39</x:v>
      </x:c>
      <x:c r="T49" s="512">
        <x:v>19</x:v>
      </x:c>
      <x:c r="U49" s="512">
        <x:v>6</x:v>
      </x:c>
      <x:c r="V49" s="512">
        <x:v>27</x:v>
      </x:c>
      <x:c r="W49" s="512">
        <x:v>9</x:v>
      </x:c>
      <x:c r="X49" s="512">
        <x:v>25</x:v>
      </x:c>
      <x:c r="Y49" s="512">
        <x:v>53</x:v>
      </x:c>
      <x:c r="Z49" s="512"/>
      <x:c r="AA49" s="512"/>
      <x:c r="AB49" s="512"/>
      <x:c r="AC49" s="512"/>
      <x:c r="AD49" s="512"/>
      <x:c r="AE49" s="512"/>
      <x:c r="AF49" s="512"/>
      <x:c r="AG49" s="512"/>
      <x:c r="AH49" s="512"/>
      <x:c r="AI49" s="512"/>
      <x:c r="AJ49" s="512"/>
      <x:c r="AK49" s="512"/>
      <x:c r="AL49" s="512"/>
      <x:c r="AM49" s="512"/>
      <x:c r="AN49" s="512"/>
      <x:c r="AO49" s="514"/>
    </x:row>
    <x:row r="50" ht="19" customHeight="1">
      <x:c r="B50" s="509">
        <x:v>49</x:v>
      </x:c>
      <x:c r="C50" s="519"/>
      <x:c r="D50" s="519"/>
      <x:c r="E50" s="513">
        <x:v>3</x:v>
      </x:c>
      <x:c r="F50" s="513">
        <x:v>135</x:v>
      </x:c>
      <x:c r="G50" s="512">
        <x:v>186</x:v>
      </x:c>
      <x:c r="H50" s="512">
        <x:v>123</x:v>
      </x:c>
      <x:c r="I50" s="512">
        <x:v>174</x:v>
      </x:c>
      <x:c r="J50" s="512">
        <x:v>88</x:v>
      </x:c>
      <x:c r="K50" s="512">
        <x:v>610</x:v>
      </x:c>
      <x:c r="L50" s="512">
        <x:v>209</x:v>
      </x:c>
      <x:c r="M50" s="512">
        <x:v>47</x:v>
      </x:c>
      <x:c r="N50" s="512">
        <x:v>623</x:v>
      </x:c>
      <x:c r="O50" s="512">
        <x:v>898</x:v>
      </x:c>
      <x:c r="P50" s="512">
        <x:v>2773</x:v>
      </x:c>
      <x:c r="Q50" s="512">
        <x:v>2007</x:v>
      </x:c>
      <x:c r="R50" s="512">
        <x:v>1693</x:v>
      </x:c>
      <x:c r="S50" s="512">
        <x:v>2467</x:v>
      </x:c>
      <x:c r="T50" s="512">
        <x:v>2367</x:v>
      </x:c>
      <x:c r="U50" s="512">
        <x:v>2455</x:v>
      </x:c>
      <x:c r="V50" s="512">
        <x:v>2336</x:v>
      </x:c>
      <x:c r="W50" s="512">
        <x:v>2001</x:v>
      </x:c>
      <x:c r="X50" s="512">
        <x:v>2683</x:v>
      </x:c>
      <x:c r="Y50" s="512">
        <x:v>1647</x:v>
      </x:c>
      <x:c r="Z50" s="512"/>
      <x:c r="AA50" s="512"/>
      <x:c r="AB50" s="512"/>
      <x:c r="AC50" s="512"/>
      <x:c r="AD50" s="512"/>
      <x:c r="AE50" s="512"/>
      <x:c r="AF50" s="512"/>
      <x:c r="AG50" s="512"/>
      <x:c r="AH50" s="512"/>
      <x:c r="AI50" s="512"/>
      <x:c r="AJ50" s="512"/>
      <x:c r="AK50" s="512"/>
      <x:c r="AL50" s="512"/>
      <x:c r="AM50" s="512"/>
      <x:c r="AN50" s="512"/>
      <x:c r="AO50" s="514"/>
    </x:row>
    <x:row r="51" ht="19" customHeight="1">
      <x:c r="B51" s="509">
        <x:v>50</x:v>
      </x:c>
      <x:c r="C51" s="519"/>
      <x:c r="D51" s="519"/>
      <x:c r="E51" s="513">
        <x:v>0</x:v>
      </x:c>
      <x:c r="F51" s="541">
        <x:v>3</x:v>
      </x:c>
      <x:c r="G51" s="512">
        <x:v>183</x:v>
      </x:c>
      <x:c r="H51" s="512">
        <x:v>70</x:v>
      </x:c>
      <x:c r="I51" s="512">
        <x:v>483</x:v>
      </x:c>
      <x:c r="J51" s="512">
        <x:v>173</x:v>
      </x:c>
      <x:c r="K51" s="512">
        <x:v>181</x:v>
      </x:c>
      <x:c r="L51" s="512">
        <x:v>110</x:v>
      </x:c>
      <x:c r="M51" s="512">
        <x:v>116</x:v>
      </x:c>
      <x:c r="N51" s="512">
        <x:v>177</x:v>
      </x:c>
      <x:c r="O51" s="512">
        <x:v>712</x:v>
      </x:c>
      <x:c r="P51" s="512">
        <x:v>267</x:v>
      </x:c>
      <x:c r="Q51" s="512">
        <x:v>733</x:v>
      </x:c>
      <x:c r="R51" s="512">
        <x:v>611</x:v>
      </x:c>
      <x:c r="S51" s="512">
        <x:v>465</x:v>
      </x:c>
      <x:c r="T51" s="512">
        <x:v>485</x:v>
      </x:c>
      <x:c r="U51" s="512">
        <x:v>249</x:v>
      </x:c>
      <x:c r="V51" s="512">
        <x:v>168</x:v>
      </x:c>
      <x:c r="W51" s="512">
        <x:v>6467</x:v>
      </x:c>
      <x:c r="X51" s="512">
        <x:v>183</x:v>
      </x:c>
      <x:c r="Y51" s="512">
        <x:v>35</x:v>
      </x:c>
      <x:c r="Z51" s="512"/>
      <x:c r="AA51" s="512"/>
      <x:c r="AB51" s="512"/>
      <x:c r="AC51" s="512"/>
      <x:c r="AD51" s="512"/>
      <x:c r="AE51" s="512"/>
      <x:c r="AF51" s="512"/>
      <x:c r="AG51" s="512"/>
      <x:c r="AH51" s="512"/>
      <x:c r="AI51" s="512"/>
      <x:c r="AJ51" s="512"/>
      <x:c r="AK51" s="512"/>
      <x:c r="AL51" s="512"/>
      <x:c r="AM51" s="512"/>
      <x:c r="AN51" s="512"/>
      <x:c r="AO51" s="514"/>
    </x:row>
    <x:row r="52" ht="19" customHeight="1">
      <x:c r="B52" s="509">
        <x:v>51</x:v>
      </x:c>
      <x:c r="C52" s="519"/>
      <x:c r="D52" s="519"/>
      <x:c r="E52" s="519"/>
      <x:c r="F52" s="519"/>
      <x:c r="G52" s="512">
        <x:v>612</x:v>
      </x:c>
      <x:c r="H52" s="512">
        <x:v>234</x:v>
      </x:c>
      <x:c r="I52" s="512">
        <x:v>146</x:v>
      </x:c>
      <x:c r="J52" s="512">
        <x:v>107</x:v>
      </x:c>
      <x:c r="K52" s="512">
        <x:v>26</x:v>
      </x:c>
      <x:c r="L52" s="512">
        <x:v>10</x:v>
      </x:c>
      <x:c r="M52" s="512">
        <x:v>1</x:v>
      </x:c>
      <x:c r="N52" s="512">
        <x:v>23</x:v>
      </x:c>
      <x:c r="O52" s="512">
        <x:v>24</x:v>
      </x:c>
      <x:c r="P52" s="512">
        <x:v>3</x:v>
      </x:c>
      <x:c r="Q52" s="512">
        <x:v>21</x:v>
      </x:c>
      <x:c r="R52" s="512">
        <x:v>3</x:v>
      </x:c>
      <x:c r="S52" s="512">
        <x:v>20</x:v>
      </x:c>
      <x:c r="T52" s="512">
        <x:v>5</x:v>
      </x:c>
      <x:c r="U52" s="512">
        <x:v>3</x:v>
      </x:c>
      <x:c r="V52" s="512">
        <x:v>1</x:v>
      </x:c>
      <x:c r="W52" s="512">
        <x:v>0</x:v>
      </x:c>
      <x:c r="X52" s="512">
        <x:v>1</x:v>
      </x:c>
      <x:c r="Y52" s="512">
        <x:v>0</x:v>
      </x:c>
      <x:c r="Z52" s="512"/>
      <x:c r="AA52" s="512"/>
      <x:c r="AB52" s="512"/>
      <x:c r="AC52" s="512"/>
      <x:c r="AD52" s="512"/>
      <x:c r="AE52" s="512"/>
      <x:c r="AF52" s="512"/>
      <x:c r="AG52" s="512"/>
      <x:c r="AH52" s="512"/>
      <x:c r="AI52" s="512"/>
      <x:c r="AJ52" s="512"/>
      <x:c r="AK52" s="512"/>
      <x:c r="AL52" s="512"/>
      <x:c r="AM52" s="512"/>
      <x:c r="AN52" s="512"/>
      <x:c r="AO52" s="514"/>
    </x:row>
    <x:row r="53" ht="19" customHeight="1">
      <x:c r="B53" s="509">
        <x:v>52</x:v>
      </x:c>
      <x:c r="C53" s="519"/>
      <x:c r="D53" s="519"/>
      <x:c r="E53" s="519"/>
      <x:c r="F53" s="519"/>
      <x:c r="G53" s="512">
        <x:v>18</x:v>
      </x:c>
      <x:c r="H53" s="512">
        <x:v>1066</x:v>
      </x:c>
      <x:c r="I53" s="512">
        <x:v>794</x:v>
      </x:c>
      <x:c r="J53" s="512">
        <x:v>238</x:v>
      </x:c>
      <x:c r="K53" s="512">
        <x:v>219</x:v>
      </x:c>
      <x:c r="L53" s="512">
        <x:v>83</x:v>
      </x:c>
      <x:c r="M53" s="512">
        <x:v>365</x:v>
      </x:c>
      <x:c r="N53" s="512">
        <x:v>47</x:v>
      </x:c>
      <x:c r="O53" s="512">
        <x:v>118</x:v>
      </x:c>
      <x:c r="P53" s="512">
        <x:v>404</x:v>
      </x:c>
      <x:c r="Q53" s="512">
        <x:v>246</x:v>
      </x:c>
      <x:c r="R53" s="512">
        <x:v>367</x:v>
      </x:c>
      <x:c r="S53" s="512">
        <x:v>107</x:v>
      </x:c>
      <x:c r="T53" s="512">
        <x:v>255</x:v>
      </x:c>
      <x:c r="U53" s="512">
        <x:v>269</x:v>
      </x:c>
      <x:c r="V53" s="512">
        <x:v>276</x:v>
      </x:c>
      <x:c r="W53" s="512">
        <x:v>294</x:v>
      </x:c>
      <x:c r="X53" s="512">
        <x:v>481</x:v>
      </x:c>
      <x:c r="Y53" s="512">
        <x:v>379</x:v>
      </x:c>
      <x:c r="Z53" s="512"/>
      <x:c r="AA53" s="512"/>
      <x:c r="AB53" s="512"/>
      <x:c r="AC53" s="512"/>
      <x:c r="AD53" s="512"/>
      <x:c r="AE53" s="512"/>
      <x:c r="AF53" s="512"/>
      <x:c r="AG53" s="512"/>
      <x:c r="AH53" s="512"/>
      <x:c r="AI53" s="512"/>
      <x:c r="AJ53" s="512"/>
      <x:c r="AK53" s="512"/>
      <x:c r="AL53" s="512"/>
      <x:c r="AM53" s="512"/>
      <x:c r="AN53" s="512"/>
      <x:c r="AO53" s="514"/>
    </x:row>
    <x:row r="54" ht="19" customHeight="1">
      <x:c r="B54" s="509">
        <x:v>53</x:v>
      </x:c>
      <x:c r="C54" s="519"/>
      <x:c r="D54" s="519"/>
      <x:c r="E54" s="519"/>
      <x:c r="F54" s="519"/>
      <x:c r="G54" s="512">
        <x:v>0</x:v>
      </x:c>
      <x:c r="H54" s="512">
        <x:v>2</x:v>
      </x:c>
      <x:c r="I54" s="512">
        <x:v>3</x:v>
      </x:c>
      <x:c r="J54" s="512">
        <x:v>17</x:v>
      </x:c>
      <x:c r="K54" s="512">
        <x:v>10</x:v>
      </x:c>
      <x:c r="L54" s="512">
        <x:v>14</x:v>
      </x:c>
      <x:c r="M54" s="512">
        <x:v>1</x:v>
      </x:c>
      <x:c r="N54" s="512">
        <x:v>3</x:v>
      </x:c>
      <x:c r="O54" s="512">
        <x:v>0</x:v>
      </x:c>
      <x:c r="P54" s="512">
        <x:v>7</x:v>
      </x:c>
      <x:c r="Q54" s="512">
        <x:v>0</x:v>
      </x:c>
      <x:c r="R54" s="512">
        <x:v>6</x:v>
      </x:c>
      <x:c r="S54" s="512">
        <x:v>0</x:v>
      </x:c>
      <x:c r="T54" s="512">
        <x:v>80</x:v>
      </x:c>
      <x:c r="U54" s="512">
        <x:v>0</x:v>
      </x:c>
      <x:c r="V54" s="512">
        <x:v>161</x:v>
      </x:c>
      <x:c r="W54" s="512">
        <x:v>34</x:v>
      </x:c>
      <x:c r="X54" s="512">
        <x:v>16</x:v>
      </x:c>
      <x:c r="Y54" s="512">
        <x:v>4</x:v>
      </x:c>
      <x:c r="Z54" s="512"/>
      <x:c r="AA54" s="512"/>
      <x:c r="AB54" s="512"/>
      <x:c r="AC54" s="512"/>
      <x:c r="AD54" s="512"/>
      <x:c r="AE54" s="512"/>
      <x:c r="AF54" s="512"/>
      <x:c r="AG54" s="512"/>
      <x:c r="AH54" s="512"/>
      <x:c r="AI54" s="512"/>
      <x:c r="AJ54" s="512"/>
      <x:c r="AK54" s="512"/>
      <x:c r="AL54" s="512"/>
      <x:c r="AM54" s="512"/>
      <x:c r="AN54" s="512"/>
      <x:c r="AO54" s="514"/>
    </x:row>
    <x:row r="55" ht="19" customHeight="1">
      <x:c r="B55" s="509">
        <x:v>54</x:v>
      </x:c>
      <x:c r="C55" s="519"/>
      <x:c r="D55" s="519"/>
      <x:c r="E55" s="519"/>
      <x:c r="F55" s="519"/>
      <x:c r="G55" s="512">
        <x:v>0</x:v>
      </x:c>
      <x:c r="H55" s="512">
        <x:v>0</x:v>
      </x:c>
      <x:c r="I55" s="512">
        <x:v>0</x:v>
      </x:c>
      <x:c r="J55" s="512">
        <x:v>4</x:v>
      </x:c>
      <x:c r="K55" s="512">
        <x:v>31</x:v>
      </x:c>
      <x:c r="L55" s="512">
        <x:v>28</x:v>
      </x:c>
      <x:c r="M55" s="512">
        <x:v>63</x:v>
      </x:c>
      <x:c r="N55" s="512">
        <x:v>16</x:v>
      </x:c>
      <x:c r="O55" s="512">
        <x:v>37</x:v>
      </x:c>
      <x:c r="P55" s="512">
        <x:v>11</x:v>
      </x:c>
      <x:c r="Q55" s="512">
        <x:v>2</x:v>
      </x:c>
      <x:c r="R55" s="512">
        <x:v>18</x:v>
      </x:c>
      <x:c r="S55" s="512">
        <x:v>3</x:v>
      </x:c>
      <x:c r="T55" s="512">
        <x:v>8</x:v>
      </x:c>
      <x:c r="U55" s="512">
        <x:v>56</x:v>
      </x:c>
      <x:c r="V55" s="512">
        <x:v>633</x:v>
      </x:c>
      <x:c r="W55" s="512">
        <x:v>1376</x:v>
      </x:c>
      <x:c r="X55" s="512">
        <x:v>1603</x:v>
      </x:c>
      <x:c r="Y55" s="512">
        <x:v>536</x:v>
      </x:c>
      <x:c r="Z55" s="512"/>
      <x:c r="AA55" s="512"/>
      <x:c r="AB55" s="512"/>
      <x:c r="AC55" s="512"/>
      <x:c r="AD55" s="512"/>
      <x:c r="AE55" s="512"/>
      <x:c r="AF55" s="512"/>
      <x:c r="AG55" s="512"/>
      <x:c r="AH55" s="512"/>
      <x:c r="AI55" s="512"/>
      <x:c r="AJ55" s="512"/>
      <x:c r="AK55" s="512"/>
      <x:c r="AL55" s="512"/>
      <x:c r="AM55" s="512"/>
      <x:c r="AN55" s="512"/>
      <x:c r="AO55" s="514"/>
    </x:row>
    <x:row r="56" ht="19" customHeight="1">
      <x:c r="B56" s="509">
        <x:v>55</x:v>
      </x:c>
      <x:c r="C56" s="519"/>
      <x:c r="D56" s="519"/>
      <x:c r="E56" s="519"/>
      <x:c r="F56" s="519"/>
      <x:c r="G56" s="519"/>
      <x:c r="H56" s="519"/>
      <x:c r="I56" s="519"/>
      <x:c r="J56" s="519"/>
      <x:c r="K56" s="519"/>
      <x:c r="L56" s="519"/>
      <x:c r="M56" s="512">
        <x:v>1</x:v>
      </x:c>
      <x:c r="N56" s="512">
        <x:v>0</x:v>
      </x:c>
      <x:c r="O56" s="512">
        <x:v>43</x:v>
      </x:c>
      <x:c r="P56" s="512">
        <x:v>76</x:v>
      </x:c>
      <x:c r="Q56" s="512">
        <x:v>103</x:v>
      </x:c>
      <x:c r="R56" s="512">
        <x:v>68</x:v>
      </x:c>
      <x:c r="S56" s="512">
        <x:v>115</x:v>
      </x:c>
      <x:c r="T56" s="512">
        <x:v>113</x:v>
      </x:c>
      <x:c r="U56" s="512">
        <x:v>98</x:v>
      </x:c>
      <x:c r="V56" s="512">
        <x:v>190</x:v>
      </x:c>
      <x:c r="W56" s="512">
        <x:v>102</x:v>
      </x:c>
      <x:c r="X56" s="512">
        <x:v>86</x:v>
      </x:c>
      <x:c r="Y56" s="512">
        <x:v>393</x:v>
      </x:c>
      <x:c r="Z56" s="512"/>
      <x:c r="AA56" s="512"/>
      <x:c r="AB56" s="512"/>
      <x:c r="AC56" s="512"/>
      <x:c r="AD56" s="512"/>
      <x:c r="AE56" s="512"/>
      <x:c r="AF56" s="512"/>
      <x:c r="AG56" s="512"/>
      <x:c r="AH56" s="512"/>
      <x:c r="AI56" s="512"/>
      <x:c r="AJ56" s="512"/>
      <x:c r="AK56" s="512"/>
      <x:c r="AL56" s="512"/>
      <x:c r="AM56" s="512"/>
      <x:c r="AN56" s="512"/>
      <x:c r="AO56" s="514"/>
    </x:row>
    <x:row r="57" ht="19" customHeight="1">
      <x:c r="B57" s="539">
        <x:v>56</x:v>
      </x:c>
      <x:c r="C57" s="542"/>
      <x:c r="D57" s="542"/>
      <x:c r="E57" s="542"/>
      <x:c r="F57" s="542"/>
      <x:c r="G57" s="542"/>
      <x:c r="H57" s="542"/>
      <x:c r="I57" s="542"/>
      <x:c r="J57" s="542"/>
      <x:c r="K57" s="542"/>
      <x:c r="L57" s="542"/>
      <x:c r="M57" s="543">
        <x:v>39</x:v>
      </x:c>
      <x:c r="N57" s="543">
        <x:v>1</x:v>
      </x:c>
      <x:c r="O57" s="543">
        <x:v>301</x:v>
      </x:c>
      <x:c r="P57" s="543">
        <x:v>317</x:v>
      </x:c>
      <x:c r="Q57" s="512">
        <x:v>598</x:v>
      </x:c>
      <x:c r="R57" s="512">
        <x:v>685</x:v>
      </x:c>
      <x:c r="S57" s="512">
        <x:v>227</x:v>
      </x:c>
      <x:c r="T57" s="512">
        <x:v>1074</x:v>
      </x:c>
      <x:c r="U57" s="512">
        <x:v>1130</x:v>
      </x:c>
      <x:c r="V57" s="543">
        <x:v>932</x:v>
      </x:c>
      <x:c r="W57" s="543">
        <x:v>1499</x:v>
      </x:c>
      <x:c r="X57" s="543">
        <x:v>1268</x:v>
      </x:c>
      <x:c r="Y57" s="543">
        <x:v>960</x:v>
      </x:c>
      <x:c r="Z57" s="543"/>
      <x:c r="AA57" s="543"/>
      <x:c r="AB57" s="543"/>
      <x:c r="AC57" s="543"/>
      <x:c r="AD57" s="543"/>
      <x:c r="AE57" s="543"/>
      <x:c r="AF57" s="543"/>
      <x:c r="AG57" s="543"/>
      <x:c r="AH57" s="543"/>
      <x:c r="AI57" s="543"/>
      <x:c r="AJ57" s="543"/>
      <x:c r="AK57" s="543"/>
      <x:c r="AL57" s="543"/>
      <x:c r="AM57" s="543"/>
      <x:c r="AN57" s="543"/>
      <x:c r="AO57" s="544"/>
    </x:row>
    <x:row r="58" ht="19" customHeight="1">
      <x:c r="B58" s="509">
        <x:v>57</x:v>
      </x:c>
      <x:c r="C58" s="519"/>
      <x:c r="D58" s="519"/>
      <x:c r="E58" s="519"/>
      <x:c r="F58" s="519"/>
      <x:c r="G58" s="519"/>
      <x:c r="H58" s="519"/>
      <x:c r="I58" s="519"/>
      <x:c r="J58" s="519"/>
      <x:c r="K58" s="519"/>
      <x:c r="L58" s="519"/>
      <x:c r="M58" s="519"/>
      <x:c r="N58" s="519"/>
      <x:c r="O58" s="519"/>
      <x:c r="P58" s="519"/>
      <x:c r="Q58" s="519"/>
      <x:c r="R58" s="519"/>
      <x:c r="S58" s="512">
        <x:v>232</x:v>
      </x:c>
      <x:c r="T58" s="512">
        <x:v>45</x:v>
      </x:c>
      <x:c r="U58" s="512">
        <x:v>456</x:v>
      </x:c>
      <x:c r="V58" s="543">
        <x:v>278</x:v>
      </x:c>
      <x:c r="W58" s="512">
        <x:v>551</x:v>
      </x:c>
      <x:c r="X58" s="512">
        <x:v>109</x:v>
      </x:c>
      <x:c r="Y58" s="512">
        <x:v>125</x:v>
      </x:c>
      <x:c r="Z58" s="512"/>
      <x:c r="AA58" s="512"/>
      <x:c r="AB58" s="512"/>
      <x:c r="AC58" s="512"/>
      <x:c r="AD58" s="512"/>
      <x:c r="AE58" s="512"/>
      <x:c r="AF58" s="512"/>
      <x:c r="AG58" s="512"/>
      <x:c r="AH58" s="512"/>
      <x:c r="AI58" s="512"/>
      <x:c r="AJ58" s="512"/>
      <x:c r="AK58" s="512"/>
      <x:c r="AL58" s="512"/>
      <x:c r="AM58" s="512"/>
      <x:c r="AN58" s="512"/>
      <x:c r="AO58" s="514"/>
    </x:row>
    <x:row r="59" ht="19" customHeight="1">
      <x:c r="B59" s="509">
        <x:v>58</x:v>
      </x:c>
      <x:c r="C59" s="519"/>
      <x:c r="D59" s="519"/>
      <x:c r="E59" s="519"/>
      <x:c r="F59" s="519"/>
      <x:c r="G59" s="519"/>
      <x:c r="H59" s="519"/>
      <x:c r="I59" s="519"/>
      <x:c r="J59" s="519"/>
      <x:c r="K59" s="519"/>
      <x:c r="L59" s="519"/>
      <x:c r="M59" s="519"/>
      <x:c r="N59" s="519"/>
      <x:c r="O59" s="519"/>
      <x:c r="P59" s="519"/>
      <x:c r="Q59" s="519"/>
      <x:c r="R59" s="519"/>
      <x:c r="S59" s="512">
        <x:v>1</x:v>
      </x:c>
      <x:c r="T59" s="512">
        <x:v>1088</x:v>
      </x:c>
      <x:c r="U59" s="512">
        <x:v>272</x:v>
      </x:c>
      <x:c r="V59" s="543">
        <x:v>130</x:v>
      </x:c>
      <x:c r="W59" s="512">
        <x:v>26</x:v>
      </x:c>
      <x:c r="X59" s="512">
        <x:v>481</x:v>
      </x:c>
      <x:c r="Y59" s="512">
        <x:v>42</x:v>
      </x:c>
      <x:c r="Z59" s="512"/>
      <x:c r="AA59" s="512"/>
      <x:c r="AB59" s="512"/>
      <x:c r="AC59" s="512"/>
      <x:c r="AD59" s="512"/>
      <x:c r="AE59" s="512"/>
      <x:c r="AF59" s="512"/>
      <x:c r="AG59" s="512"/>
      <x:c r="AH59" s="512"/>
      <x:c r="AI59" s="512"/>
      <x:c r="AJ59" s="512"/>
      <x:c r="AK59" s="512"/>
      <x:c r="AL59" s="512"/>
      <x:c r="AM59" s="512"/>
      <x:c r="AN59" s="512"/>
      <x:c r="AO59" s="514"/>
    </x:row>
    <x:row r="60" ht="19" customHeight="1">
      <x:c r="B60" s="509">
        <x:v>59</x:v>
      </x:c>
      <x:c r="C60" s="519"/>
      <x:c r="D60" s="519"/>
      <x:c r="E60" s="519"/>
      <x:c r="F60" s="519"/>
      <x:c r="G60" s="519"/>
      <x:c r="H60" s="519"/>
      <x:c r="I60" s="519"/>
      <x:c r="J60" s="519"/>
      <x:c r="K60" s="519"/>
      <x:c r="L60" s="519"/>
      <x:c r="M60" s="519"/>
      <x:c r="N60" s="519"/>
      <x:c r="O60" s="519"/>
      <x:c r="P60" s="519"/>
      <x:c r="Q60" s="519"/>
      <x:c r="R60" s="519"/>
      <x:c r="S60" s="519"/>
      <x:c r="T60" s="512">
        <x:v>1</x:v>
      </x:c>
      <x:c r="U60" s="512">
        <x:v>6</x:v>
      </x:c>
      <x:c r="V60" s="512">
        <x:v>34</x:v>
      </x:c>
      <x:c r="W60" s="512">
        <x:v>0</x:v>
      </x:c>
      <x:c r="X60" s="512">
        <x:v>155</x:v>
      </x:c>
      <x:c r="Y60" s="512">
        <x:v>66</x:v>
      </x:c>
      <x:c r="Z60" s="512"/>
      <x:c r="AA60" s="512"/>
      <x:c r="AB60" s="512"/>
      <x:c r="AC60" s="512"/>
      <x:c r="AD60" s="512"/>
      <x:c r="AE60" s="512"/>
      <x:c r="AF60" s="512"/>
      <x:c r="AG60" s="512"/>
      <x:c r="AH60" s="512"/>
      <x:c r="AI60" s="512"/>
      <x:c r="AJ60" s="512"/>
      <x:c r="AK60" s="512"/>
      <x:c r="AL60" s="512"/>
      <x:c r="AM60" s="512"/>
      <x:c r="AN60" s="512"/>
      <x:c r="AO60" s="514"/>
    </x:row>
    <x:row r="61" ht="19" customHeight="1">
      <x:c r="B61" s="509">
        <x:v>60</x:v>
      </x:c>
      <x:c r="C61" s="519"/>
      <x:c r="D61" s="519"/>
      <x:c r="E61" s="519"/>
      <x:c r="F61" s="519"/>
      <x:c r="G61" s="519"/>
      <x:c r="H61" s="519"/>
      <x:c r="I61" s="519"/>
      <x:c r="J61" s="519"/>
      <x:c r="K61" s="519"/>
      <x:c r="L61" s="519"/>
      <x:c r="M61" s="519"/>
      <x:c r="N61" s="519"/>
      <x:c r="O61" s="519"/>
      <x:c r="P61" s="519"/>
      <x:c r="Q61" s="519"/>
      <x:c r="R61" s="519"/>
      <x:c r="S61" s="519"/>
      <x:c r="T61" s="519"/>
      <x:c r="U61" s="519"/>
      <x:c r="V61" s="519"/>
      <x:c r="W61" s="519"/>
      <x:c r="X61" s="512">
        <x:v>0</x:v>
      </x:c>
      <x:c r="Y61" s="512">
        <x:v>0</x:v>
      </x:c>
      <x:c r="Z61" s="512"/>
      <x:c r="AA61" s="512"/>
      <x:c r="AB61" s="512"/>
      <x:c r="AC61" s="512"/>
      <x:c r="AD61" s="512"/>
      <x:c r="AE61" s="512"/>
      <x:c r="AF61" s="512"/>
      <x:c r="AG61" s="512"/>
      <x:c r="AH61" s="512"/>
      <x:c r="AI61" s="512"/>
      <x:c r="AJ61" s="512"/>
      <x:c r="AK61" s="512"/>
      <x:c r="AL61" s="512"/>
      <x:c r="AM61" s="512"/>
      <x:c r="AN61" s="512"/>
      <x:c r="AO61" s="514"/>
    </x:row>
    <x:row r="62" ht="19" customHeight="1">
      <x:c r="B62" s="509">
        <x:v>61</x:v>
      </x:c>
      <x:c r="C62" s="519"/>
      <x:c r="D62" s="519"/>
      <x:c r="E62" s="519"/>
      <x:c r="F62" s="519"/>
      <x:c r="G62" s="519"/>
      <x:c r="H62" s="519"/>
      <x:c r="I62" s="519"/>
      <x:c r="J62" s="519"/>
      <x:c r="K62" s="519"/>
      <x:c r="L62" s="519"/>
      <x:c r="M62" s="519"/>
      <x:c r="N62" s="519"/>
      <x:c r="O62" s="519"/>
      <x:c r="P62" s="519"/>
      <x:c r="Q62" s="519"/>
      <x:c r="R62" s="519"/>
      <x:c r="S62" s="519"/>
      <x:c r="T62" s="519"/>
      <x:c r="U62" s="519"/>
      <x:c r="V62" s="519"/>
      <x:c r="W62" s="519"/>
      <x:c r="X62" s="512">
        <x:v>2</x:v>
      </x:c>
      <x:c r="Y62" s="512">
        <x:v>12</x:v>
      </x:c>
      <x:c r="Z62" s="512"/>
      <x:c r="AA62" s="512"/>
      <x:c r="AB62" s="512"/>
      <x:c r="AC62" s="512"/>
      <x:c r="AD62" s="512"/>
      <x:c r="AE62" s="512"/>
      <x:c r="AF62" s="512"/>
      <x:c r="AG62" s="512"/>
      <x:c r="AH62" s="512"/>
      <x:c r="AI62" s="512"/>
      <x:c r="AJ62" s="512"/>
      <x:c r="AK62" s="512"/>
      <x:c r="AL62" s="512"/>
      <x:c r="AM62" s="512"/>
      <x:c r="AN62" s="512"/>
      <x:c r="AO62" s="514"/>
    </x:row>
    <x:row r="63" ht="19" customHeight="1">
      <x:c r="B63" s="510" t="str">
        <x:f>IF('CADASTRO DE LOJAS'!E65="SIM",'CADASTRO DE LOJAS'!B65,"")</x:f>
      </x:c>
      <x:c r="C63" s="520"/>
      <x:c r="D63" s="520"/>
      <x:c r="E63" s="520"/>
      <x:c r="F63" s="520"/>
      <x:c r="G63" s="520"/>
      <x:c r="H63" s="520"/>
      <x:c r="I63" s="520"/>
      <x:c r="J63" s="520"/>
      <x:c r="K63" s="520"/>
      <x:c r="L63" s="520"/>
      <x:c r="M63" s="520"/>
      <x:c r="N63" s="520"/>
      <x:c r="O63" s="520"/>
      <x:c r="P63" s="520"/>
      <x:c r="Q63" s="520"/>
      <x:c r="R63" s="520"/>
      <x:c r="S63" s="520"/>
      <x:c r="T63" s="520"/>
      <x:c r="U63" s="520"/>
      <x:c r="V63" s="520"/>
      <x:c r="W63" s="520"/>
      <x:c r="X63" s="520"/>
      <x:c r="Y63" s="520"/>
      <x:c r="Z63" s="520"/>
      <x:c r="AA63" s="520"/>
      <x:c r="AB63" s="520"/>
      <x:c r="AC63" s="520"/>
      <x:c r="AD63" s="520"/>
      <x:c r="AE63" s="520"/>
      <x:c r="AF63" s="520"/>
      <x:c r="AG63" s="520"/>
      <x:c r="AH63" s="520"/>
      <x:c r="AI63" s="520"/>
      <x:c r="AJ63" s="520"/>
      <x:c r="AK63" s="520"/>
      <x:c r="AL63" s="520"/>
      <x:c r="AM63" s="520"/>
      <x:c r="AN63" s="520"/>
      <x:c r="AO63" s="521"/>
    </x:row>
    <x:row r="64" ht="19" customHeight="1">
      <x:c r="B64" s="510" t="str">
        <x:f>IF('CADASTRO DE LOJAS'!E66="SIM",'CADASTRO DE LOJAS'!B66,"")</x:f>
      </x:c>
      <x:c r="C64" s="520"/>
      <x:c r="D64" s="520"/>
      <x:c r="E64" s="520"/>
      <x:c r="F64" s="520"/>
      <x:c r="G64" s="520"/>
      <x:c r="H64" s="520"/>
      <x:c r="I64" s="520"/>
      <x:c r="J64" s="520"/>
      <x:c r="K64" s="520"/>
      <x:c r="L64" s="520"/>
      <x:c r="M64" s="520"/>
      <x:c r="N64" s="520"/>
      <x:c r="O64" s="520"/>
      <x:c r="P64" s="520"/>
      <x:c r="Q64" s="520"/>
      <x:c r="R64" s="520"/>
      <x:c r="S64" s="520"/>
      <x:c r="T64" s="520"/>
      <x:c r="U64" s="520"/>
      <x:c r="V64" s="520"/>
      <x:c r="W64" s="520"/>
      <x:c r="X64" s="520"/>
      <x:c r="Y64" s="520"/>
      <x:c r="Z64" s="520"/>
      <x:c r="AA64" s="520"/>
      <x:c r="AB64" s="520"/>
      <x:c r="AC64" s="520"/>
      <x:c r="AD64" s="520"/>
      <x:c r="AE64" s="520"/>
      <x:c r="AF64" s="520"/>
      <x:c r="AG64" s="520"/>
      <x:c r="AH64" s="520"/>
      <x:c r="AI64" s="520"/>
      <x:c r="AJ64" s="520"/>
      <x:c r="AK64" s="520"/>
      <x:c r="AL64" s="520"/>
      <x:c r="AM64" s="520"/>
      <x:c r="AN64" s="520"/>
      <x:c r="AO64" s="521"/>
    </x:row>
    <x:row r="65" ht="19" customHeight="1">
      <x:c r="B65" s="510" t="str">
        <x:f>IF('CADASTRO DE LOJAS'!E67="SIM",'CADASTRO DE LOJAS'!B67,"")</x:f>
      </x:c>
      <x:c r="C65" s="520"/>
      <x:c r="D65" s="520"/>
      <x:c r="E65" s="520"/>
      <x:c r="F65" s="520"/>
      <x:c r="G65" s="520"/>
      <x:c r="H65" s="520"/>
      <x:c r="I65" s="520"/>
      <x:c r="J65" s="520"/>
      <x:c r="K65" s="520"/>
      <x:c r="L65" s="520"/>
      <x:c r="M65" s="520"/>
      <x:c r="N65" s="520"/>
      <x:c r="O65" s="520"/>
      <x:c r="P65" s="520"/>
      <x:c r="Q65" s="520"/>
      <x:c r="R65" s="520"/>
      <x:c r="S65" s="520"/>
      <x:c r="T65" s="520"/>
      <x:c r="U65" s="520"/>
      <x:c r="V65" s="520"/>
      <x:c r="W65" s="520"/>
      <x:c r="X65" s="520"/>
      <x:c r="Y65" s="520"/>
      <x:c r="Z65" s="520"/>
      <x:c r="AA65" s="520"/>
      <x:c r="AB65" s="520"/>
      <x:c r="AC65" s="520"/>
      <x:c r="AD65" s="520"/>
      <x:c r="AE65" s="520"/>
      <x:c r="AF65" s="520"/>
      <x:c r="AG65" s="520"/>
      <x:c r="AH65" s="520"/>
      <x:c r="AI65" s="520"/>
      <x:c r="AJ65" s="520"/>
      <x:c r="AK65" s="520"/>
      <x:c r="AL65" s="520"/>
      <x:c r="AM65" s="520"/>
      <x:c r="AN65" s="520"/>
      <x:c r="AO65" s="521"/>
    </x:row>
    <x:row r="66" ht="19" customHeight="1">
      <x:c r="B66" s="510" t="str">
        <x:f>IF('CADASTRO DE LOJAS'!E68="SIM",'CADASTRO DE LOJAS'!B68,"")</x:f>
      </x:c>
      <x:c r="C66" s="520"/>
      <x:c r="D66" s="520"/>
      <x:c r="E66" s="520"/>
      <x:c r="F66" s="520"/>
      <x:c r="G66" s="520"/>
      <x:c r="H66" s="520"/>
      <x:c r="I66" s="520"/>
      <x:c r="J66" s="520"/>
      <x:c r="K66" s="520"/>
      <x:c r="L66" s="520"/>
      <x:c r="M66" s="520"/>
      <x:c r="N66" s="520"/>
      <x:c r="O66" s="520"/>
      <x:c r="P66" s="520"/>
      <x:c r="Q66" s="520"/>
      <x:c r="R66" s="520"/>
      <x:c r="S66" s="520"/>
      <x:c r="T66" s="520"/>
      <x:c r="U66" s="520"/>
      <x:c r="V66" s="520"/>
      <x:c r="W66" s="520"/>
      <x:c r="X66" s="520"/>
      <x:c r="Y66" s="520"/>
      <x:c r="Z66" s="520"/>
      <x:c r="AA66" s="520"/>
      <x:c r="AB66" s="520"/>
      <x:c r="AC66" s="520"/>
      <x:c r="AD66" s="520"/>
      <x:c r="AE66" s="520"/>
      <x:c r="AF66" s="520"/>
      <x:c r="AG66" s="520"/>
      <x:c r="AH66" s="520"/>
      <x:c r="AI66" s="520"/>
      <x:c r="AJ66" s="520"/>
      <x:c r="AK66" s="520"/>
      <x:c r="AL66" s="520"/>
      <x:c r="AM66" s="520"/>
      <x:c r="AN66" s="520"/>
      <x:c r="AO66" s="521"/>
    </x:row>
    <x:row r="67" ht="19" customHeight="1">
      <x:c r="B67" s="510" t="str">
        <x:f>IF('CADASTRO DE LOJAS'!E69="SIM",'CADASTRO DE LOJAS'!B69,"")</x:f>
      </x:c>
      <x:c r="C67" s="520"/>
      <x:c r="D67" s="520"/>
      <x:c r="E67" s="520"/>
      <x:c r="F67" s="520"/>
      <x:c r="G67" s="520"/>
      <x:c r="H67" s="520"/>
      <x:c r="I67" s="520"/>
      <x:c r="J67" s="520"/>
      <x:c r="K67" s="520"/>
      <x:c r="L67" s="520"/>
      <x:c r="M67" s="520"/>
      <x:c r="N67" s="520"/>
      <x:c r="O67" s="520"/>
      <x:c r="P67" s="520"/>
      <x:c r="Q67" s="520"/>
      <x:c r="R67" s="520"/>
      <x:c r="S67" s="520"/>
      <x:c r="T67" s="520"/>
      <x:c r="U67" s="520"/>
      <x:c r="V67" s="520"/>
      <x:c r="W67" s="520"/>
      <x:c r="X67" s="520"/>
      <x:c r="Y67" s="520"/>
      <x:c r="Z67" s="520"/>
      <x:c r="AA67" s="520"/>
      <x:c r="AB67" s="520"/>
      <x:c r="AC67" s="520"/>
      <x:c r="AD67" s="520"/>
      <x:c r="AE67" s="520"/>
      <x:c r="AF67" s="520"/>
      <x:c r="AG67" s="520"/>
      <x:c r="AH67" s="520"/>
      <x:c r="AI67" s="520"/>
      <x:c r="AJ67" s="520"/>
      <x:c r="AK67" s="520"/>
      <x:c r="AL67" s="520"/>
      <x:c r="AM67" s="520"/>
      <x:c r="AN67" s="520"/>
      <x:c r="AO67" s="521"/>
    </x:row>
    <x:row r="68" ht="19" customHeight="1">
      <x:c r="B68" s="510" t="str">
        <x:f>IF('CADASTRO DE LOJAS'!E70="SIM",'CADASTRO DE LOJAS'!B70,"")</x:f>
      </x:c>
      <x:c r="C68" s="520"/>
      <x:c r="D68" s="520"/>
      <x:c r="E68" s="520"/>
      <x:c r="F68" s="520"/>
      <x:c r="G68" s="520"/>
      <x:c r="H68" s="520"/>
      <x:c r="I68" s="520"/>
      <x:c r="J68" s="520"/>
      <x:c r="K68" s="520"/>
      <x:c r="L68" s="520"/>
      <x:c r="M68" s="520"/>
      <x:c r="N68" s="520"/>
      <x:c r="O68" s="520"/>
      <x:c r="P68" s="520"/>
      <x:c r="Q68" s="520"/>
      <x:c r="R68" s="520"/>
      <x:c r="S68" s="520"/>
      <x:c r="T68" s="520"/>
      <x:c r="U68" s="520"/>
      <x:c r="V68" s="520"/>
      <x:c r="W68" s="520"/>
      <x:c r="X68" s="520"/>
      <x:c r="Y68" s="520"/>
      <x:c r="Z68" s="520"/>
      <x:c r="AA68" s="520"/>
      <x:c r="AB68" s="520"/>
      <x:c r="AC68" s="520"/>
      <x:c r="AD68" s="520"/>
      <x:c r="AE68" s="520"/>
      <x:c r="AF68" s="520"/>
      <x:c r="AG68" s="520"/>
      <x:c r="AH68" s="520"/>
      <x:c r="AI68" s="520"/>
      <x:c r="AJ68" s="520"/>
      <x:c r="AK68" s="520"/>
      <x:c r="AL68" s="520"/>
      <x:c r="AM68" s="520"/>
      <x:c r="AN68" s="520"/>
      <x:c r="AO68" s="521"/>
    </x:row>
    <x:row r="69" ht="19" customHeight="1">
      <x:c r="B69" s="510" t="str">
        <x:f>IF('CADASTRO DE LOJAS'!E71="SIM",'CADASTRO DE LOJAS'!B71,"")</x:f>
      </x:c>
      <x:c r="C69" s="520"/>
      <x:c r="D69" s="520"/>
      <x:c r="E69" s="520"/>
      <x:c r="F69" s="520"/>
      <x:c r="G69" s="520"/>
      <x:c r="H69" s="520"/>
      <x:c r="I69" s="520"/>
      <x:c r="J69" s="520"/>
      <x:c r="K69" s="520"/>
      <x:c r="L69" s="520"/>
      <x:c r="M69" s="520"/>
      <x:c r="N69" s="520"/>
      <x:c r="O69" s="520"/>
      <x:c r="P69" s="520"/>
      <x:c r="Q69" s="520"/>
      <x:c r="R69" s="520"/>
      <x:c r="S69" s="520"/>
      <x:c r="T69" s="520"/>
      <x:c r="U69" s="520"/>
      <x:c r="V69" s="520"/>
      <x:c r="W69" s="520"/>
      <x:c r="X69" s="520"/>
      <x:c r="Y69" s="520"/>
      <x:c r="Z69" s="520"/>
      <x:c r="AA69" s="520"/>
      <x:c r="AB69" s="520"/>
      <x:c r="AC69" s="520"/>
      <x:c r="AD69" s="520"/>
      <x:c r="AE69" s="520"/>
      <x:c r="AF69" s="520"/>
      <x:c r="AG69" s="520"/>
      <x:c r="AH69" s="520"/>
      <x:c r="AI69" s="520"/>
      <x:c r="AJ69" s="520"/>
      <x:c r="AK69" s="520"/>
      <x:c r="AL69" s="520"/>
      <x:c r="AM69" s="520"/>
      <x:c r="AN69" s="520"/>
      <x:c r="AO69" s="521"/>
    </x:row>
    <x:row r="70" ht="19" customHeight="1">
      <x:c r="B70" s="510" t="str">
        <x:f>IF('CADASTRO DE LOJAS'!E72="SIM",'CADASTRO DE LOJAS'!B72,"")</x:f>
      </x:c>
      <x:c r="C70" s="520"/>
      <x:c r="D70" s="520"/>
      <x:c r="E70" s="520"/>
      <x:c r="F70" s="520"/>
      <x:c r="G70" s="520"/>
      <x:c r="H70" s="520"/>
      <x:c r="I70" s="520"/>
      <x:c r="J70" s="520"/>
      <x:c r="K70" s="520"/>
      <x:c r="L70" s="520"/>
      <x:c r="M70" s="520"/>
      <x:c r="N70" s="520"/>
      <x:c r="O70" s="520"/>
      <x:c r="P70" s="520"/>
      <x:c r="Q70" s="520"/>
      <x:c r="R70" s="520"/>
      <x:c r="S70" s="520"/>
      <x:c r="T70" s="520"/>
      <x:c r="U70" s="520"/>
      <x:c r="V70" s="520"/>
      <x:c r="W70" s="520"/>
      <x:c r="X70" s="520"/>
      <x:c r="Y70" s="520"/>
      <x:c r="Z70" s="520"/>
      <x:c r="AA70" s="520"/>
      <x:c r="AB70" s="520"/>
      <x:c r="AC70" s="520"/>
      <x:c r="AD70" s="520"/>
      <x:c r="AE70" s="520"/>
      <x:c r="AF70" s="520"/>
      <x:c r="AG70" s="520"/>
      <x:c r="AH70" s="520"/>
      <x:c r="AI70" s="520"/>
      <x:c r="AJ70" s="520"/>
      <x:c r="AK70" s="520"/>
      <x:c r="AL70" s="520"/>
      <x:c r="AM70" s="520"/>
      <x:c r="AN70" s="520"/>
      <x:c r="AO70" s="521"/>
    </x:row>
    <x:row r="71" ht="19" customHeight="1">
      <x:c r="B71" s="510" t="str">
        <x:f>IF('CADASTRO DE LOJAS'!E73="SIM",'CADASTRO DE LOJAS'!B73,"")</x:f>
      </x:c>
      <x:c r="C71" s="520"/>
      <x:c r="D71" s="520"/>
      <x:c r="E71" s="520"/>
      <x:c r="F71" s="520"/>
      <x:c r="G71" s="520"/>
      <x:c r="H71" s="520"/>
      <x:c r="I71" s="520"/>
      <x:c r="J71" s="520"/>
      <x:c r="K71" s="520"/>
      <x:c r="L71" s="520"/>
      <x:c r="M71" s="520"/>
      <x:c r="N71" s="520"/>
      <x:c r="O71" s="520"/>
      <x:c r="P71" s="520"/>
      <x:c r="Q71" s="520"/>
      <x:c r="R71" s="520"/>
      <x:c r="S71" s="520"/>
      <x:c r="T71" s="520"/>
      <x:c r="U71" s="520"/>
      <x:c r="V71" s="520"/>
      <x:c r="W71" s="520"/>
      <x:c r="X71" s="520"/>
      <x:c r="Y71" s="520"/>
      <x:c r="Z71" s="520"/>
      <x:c r="AA71" s="520"/>
      <x:c r="AB71" s="520"/>
      <x:c r="AC71" s="520"/>
      <x:c r="AD71" s="520"/>
      <x:c r="AE71" s="520"/>
      <x:c r="AF71" s="520"/>
      <x:c r="AG71" s="520"/>
      <x:c r="AH71" s="520"/>
      <x:c r="AI71" s="520"/>
      <x:c r="AJ71" s="520"/>
      <x:c r="AK71" s="520"/>
      <x:c r="AL71" s="520"/>
      <x:c r="AM71" s="520"/>
      <x:c r="AN71" s="520"/>
      <x:c r="AO71" s="521"/>
    </x:row>
    <x:row r="72" ht="19" customHeight="1">
      <x:c r="B72" s="510" t="str">
        <x:f>IF('CADASTRO DE LOJAS'!E74="SIM",'CADASTRO DE LOJAS'!B74,"")</x:f>
      </x:c>
      <x:c r="C72" s="520"/>
      <x:c r="D72" s="520"/>
      <x:c r="E72" s="520"/>
      <x:c r="F72" s="520"/>
      <x:c r="G72" s="520"/>
      <x:c r="H72" s="520"/>
      <x:c r="I72" s="520"/>
      <x:c r="J72" s="520"/>
      <x:c r="K72" s="520"/>
      <x:c r="L72" s="520"/>
      <x:c r="M72" s="520"/>
      <x:c r="N72" s="520"/>
      <x:c r="O72" s="520"/>
      <x:c r="P72" s="520"/>
      <x:c r="Q72" s="520"/>
      <x:c r="R72" s="520"/>
      <x:c r="S72" s="520"/>
      <x:c r="T72" s="520"/>
      <x:c r="U72" s="520"/>
      <x:c r="V72" s="520"/>
      <x:c r="W72" s="520"/>
      <x:c r="X72" s="520"/>
      <x:c r="Y72" s="520"/>
      <x:c r="Z72" s="520"/>
      <x:c r="AA72" s="520"/>
      <x:c r="AB72" s="520"/>
      <x:c r="AC72" s="520"/>
      <x:c r="AD72" s="520"/>
      <x:c r="AE72" s="520"/>
      <x:c r="AF72" s="520"/>
      <x:c r="AG72" s="520"/>
      <x:c r="AH72" s="520"/>
      <x:c r="AI72" s="520"/>
      <x:c r="AJ72" s="520"/>
      <x:c r="AK72" s="520"/>
      <x:c r="AL72" s="520"/>
      <x:c r="AM72" s="520"/>
      <x:c r="AN72" s="520"/>
      <x:c r="AO72" s="521"/>
    </x:row>
    <x:row r="73" ht="19" customHeight="1">
      <x:c r="B73" s="510" t="str">
        <x:f>IF('CADASTRO DE LOJAS'!E75="SIM",'CADASTRO DE LOJAS'!B75,"")</x:f>
      </x:c>
      <x:c r="C73" s="520"/>
      <x:c r="D73" s="520"/>
      <x:c r="E73" s="520"/>
      <x:c r="F73" s="520"/>
      <x:c r="G73" s="520"/>
      <x:c r="H73" s="520"/>
      <x:c r="I73" s="520"/>
      <x:c r="J73" s="520"/>
      <x:c r="K73" s="520"/>
      <x:c r="L73" s="520"/>
      <x:c r="M73" s="520"/>
      <x:c r="N73" s="520"/>
      <x:c r="O73" s="520"/>
      <x:c r="P73" s="520"/>
      <x:c r="Q73" s="520"/>
      <x:c r="R73" s="520"/>
      <x:c r="S73" s="520"/>
      <x:c r="T73" s="520"/>
      <x:c r="U73" s="520"/>
      <x:c r="V73" s="520"/>
      <x:c r="W73" s="520"/>
      <x:c r="X73" s="520"/>
      <x:c r="Y73" s="520"/>
      <x:c r="Z73" s="520"/>
      <x:c r="AA73" s="520"/>
      <x:c r="AB73" s="520"/>
      <x:c r="AC73" s="520"/>
      <x:c r="AD73" s="520"/>
      <x:c r="AE73" s="520"/>
      <x:c r="AF73" s="520"/>
      <x:c r="AG73" s="520"/>
      <x:c r="AH73" s="520"/>
      <x:c r="AI73" s="520"/>
      <x:c r="AJ73" s="520"/>
      <x:c r="AK73" s="520"/>
      <x:c r="AL73" s="520"/>
      <x:c r="AM73" s="520"/>
      <x:c r="AN73" s="520"/>
      <x:c r="AO73" s="521"/>
    </x:row>
    <x:row r="74" ht="19" customHeight="1">
      <x:c r="B74" s="510" t="str">
        <x:f>IF('CADASTRO DE LOJAS'!E76="SIM",'CADASTRO DE LOJAS'!B76,"")</x:f>
      </x:c>
      <x:c r="C74" s="520"/>
      <x:c r="D74" s="520"/>
      <x:c r="E74" s="520"/>
      <x:c r="F74" s="520"/>
      <x:c r="G74" s="520"/>
      <x:c r="H74" s="520"/>
      <x:c r="I74" s="520"/>
      <x:c r="J74" s="520"/>
      <x:c r="K74" s="520"/>
      <x:c r="L74" s="520"/>
      <x:c r="M74" s="520"/>
      <x:c r="N74" s="520"/>
      <x:c r="O74" s="520"/>
      <x:c r="P74" s="520"/>
      <x:c r="Q74" s="520"/>
      <x:c r="R74" s="520"/>
      <x:c r="S74" s="520"/>
      <x:c r="T74" s="520"/>
      <x:c r="U74" s="520"/>
      <x:c r="V74" s="520"/>
      <x:c r="W74" s="520"/>
      <x:c r="X74" s="520"/>
      <x:c r="Y74" s="520"/>
      <x:c r="Z74" s="520"/>
      <x:c r="AA74" s="520"/>
      <x:c r="AB74" s="520"/>
      <x:c r="AC74" s="520"/>
      <x:c r="AD74" s="520"/>
      <x:c r="AE74" s="520"/>
      <x:c r="AF74" s="520"/>
      <x:c r="AG74" s="520"/>
      <x:c r="AH74" s="520"/>
      <x:c r="AI74" s="520"/>
      <x:c r="AJ74" s="520"/>
      <x:c r="AK74" s="520"/>
      <x:c r="AL74" s="520"/>
      <x:c r="AM74" s="520"/>
      <x:c r="AN74" s="520"/>
      <x:c r="AO74" s="521"/>
    </x:row>
    <x:row r="75" ht="19" customHeight="1">
      <x:c r="B75" s="510" t="str">
        <x:f>IF('CADASTRO DE LOJAS'!E77="SIM",'CADASTRO DE LOJAS'!B77,"")</x:f>
      </x:c>
      <x:c r="C75" s="520"/>
      <x:c r="D75" s="520"/>
      <x:c r="E75" s="520"/>
      <x:c r="F75" s="520"/>
      <x:c r="G75" s="520"/>
      <x:c r="H75" s="520"/>
      <x:c r="I75" s="520"/>
      <x:c r="J75" s="520"/>
      <x:c r="K75" s="520"/>
      <x:c r="L75" s="520"/>
      <x:c r="M75" s="520"/>
      <x:c r="N75" s="520"/>
      <x:c r="O75" s="520"/>
      <x:c r="P75" s="520"/>
      <x:c r="Q75" s="520"/>
      <x:c r="R75" s="520"/>
      <x:c r="S75" s="520"/>
      <x:c r="T75" s="520"/>
      <x:c r="U75" s="520"/>
      <x:c r="V75" s="520"/>
      <x:c r="W75" s="520"/>
      <x:c r="X75" s="520"/>
      <x:c r="Y75" s="520"/>
      <x:c r="Z75" s="520"/>
      <x:c r="AA75" s="520"/>
      <x:c r="AB75" s="520"/>
      <x:c r="AC75" s="520"/>
      <x:c r="AD75" s="520"/>
      <x:c r="AE75" s="520"/>
      <x:c r="AF75" s="520"/>
      <x:c r="AG75" s="520"/>
      <x:c r="AH75" s="520"/>
      <x:c r="AI75" s="520"/>
      <x:c r="AJ75" s="520"/>
      <x:c r="AK75" s="520"/>
      <x:c r="AL75" s="520"/>
      <x:c r="AM75" s="520"/>
      <x:c r="AN75" s="520"/>
      <x:c r="AO75" s="521"/>
    </x:row>
    <x:row r="76" ht="19" customHeight="1">
      <x:c r="B76" s="510" t="str">
        <x:f>IF('CADASTRO DE LOJAS'!E78="SIM",'CADASTRO DE LOJAS'!B78,"")</x:f>
      </x:c>
      <x:c r="C76" s="520"/>
      <x:c r="D76" s="520"/>
      <x:c r="E76" s="520"/>
      <x:c r="F76" s="520"/>
      <x:c r="G76" s="520"/>
      <x:c r="H76" s="520"/>
      <x:c r="I76" s="520"/>
      <x:c r="J76" s="520"/>
      <x:c r="K76" s="520"/>
      <x:c r="L76" s="520"/>
      <x:c r="M76" s="520"/>
      <x:c r="N76" s="520"/>
      <x:c r="O76" s="520"/>
      <x:c r="P76" s="520"/>
      <x:c r="Q76" s="520"/>
      <x:c r="R76" s="520"/>
      <x:c r="S76" s="520"/>
      <x:c r="T76" s="520"/>
      <x:c r="U76" s="520"/>
      <x:c r="V76" s="520"/>
      <x:c r="W76" s="520"/>
      <x:c r="X76" s="520"/>
      <x:c r="Y76" s="520"/>
      <x:c r="Z76" s="520"/>
      <x:c r="AA76" s="520"/>
      <x:c r="AB76" s="520"/>
      <x:c r="AC76" s="520"/>
      <x:c r="AD76" s="520"/>
      <x:c r="AE76" s="520"/>
      <x:c r="AF76" s="520"/>
      <x:c r="AG76" s="520"/>
      <x:c r="AH76" s="520"/>
      <x:c r="AI76" s="520"/>
      <x:c r="AJ76" s="520"/>
      <x:c r="AK76" s="520"/>
      <x:c r="AL76" s="520"/>
      <x:c r="AM76" s="520"/>
      <x:c r="AN76" s="520"/>
      <x:c r="AO76" s="521"/>
    </x:row>
    <x:row r="77" ht="19" customHeight="1">
      <x:c r="B77" s="510" t="str">
        <x:f>IF('CADASTRO DE LOJAS'!E79="SIM",'CADASTRO DE LOJAS'!B79,"")</x:f>
      </x:c>
      <x:c r="C77" s="520"/>
      <x:c r="D77" s="520"/>
      <x:c r="E77" s="520"/>
      <x:c r="F77" s="520"/>
      <x:c r="G77" s="520"/>
      <x:c r="H77" s="520"/>
      <x:c r="I77" s="520"/>
      <x:c r="J77" s="520"/>
      <x:c r="K77" s="520"/>
      <x:c r="L77" s="520"/>
      <x:c r="M77" s="520"/>
      <x:c r="N77" s="520"/>
      <x:c r="O77" s="520"/>
      <x:c r="P77" s="520"/>
      <x:c r="Q77" s="520"/>
      <x:c r="R77" s="520"/>
      <x:c r="S77" s="520"/>
      <x:c r="T77" s="520"/>
      <x:c r="U77" s="520"/>
      <x:c r="V77" s="520"/>
      <x:c r="W77" s="520"/>
      <x:c r="X77" s="520"/>
      <x:c r="Y77" s="520"/>
      <x:c r="Z77" s="520"/>
      <x:c r="AA77" s="520"/>
      <x:c r="AB77" s="520"/>
      <x:c r="AC77" s="520"/>
      <x:c r="AD77" s="520"/>
      <x:c r="AE77" s="520"/>
      <x:c r="AF77" s="520"/>
      <x:c r="AG77" s="520"/>
      <x:c r="AH77" s="520"/>
      <x:c r="AI77" s="520"/>
      <x:c r="AJ77" s="520"/>
      <x:c r="AK77" s="520"/>
      <x:c r="AL77" s="520"/>
      <x:c r="AM77" s="520"/>
      <x:c r="AN77" s="520"/>
      <x:c r="AO77" s="521"/>
    </x:row>
    <x:row r="78" ht="19" customHeight="1">
      <x:c r="B78" s="510" t="str">
        <x:f>IF('CADASTRO DE LOJAS'!E80="SIM",'CADASTRO DE LOJAS'!B80,"")</x:f>
      </x:c>
      <x:c r="C78" s="520"/>
      <x:c r="D78" s="520"/>
      <x:c r="E78" s="520"/>
      <x:c r="F78" s="520"/>
      <x:c r="G78" s="520"/>
      <x:c r="H78" s="520"/>
      <x:c r="I78" s="520"/>
      <x:c r="J78" s="520"/>
      <x:c r="K78" s="520"/>
      <x:c r="L78" s="520"/>
      <x:c r="M78" s="520"/>
      <x:c r="N78" s="520"/>
      <x:c r="O78" s="520"/>
      <x:c r="P78" s="520"/>
      <x:c r="Q78" s="520"/>
      <x:c r="R78" s="520"/>
      <x:c r="S78" s="520"/>
      <x:c r="T78" s="520"/>
      <x:c r="U78" s="520"/>
      <x:c r="V78" s="520"/>
      <x:c r="W78" s="520"/>
      <x:c r="X78" s="520"/>
      <x:c r="Y78" s="520"/>
      <x:c r="Z78" s="520"/>
      <x:c r="AA78" s="520"/>
      <x:c r="AB78" s="520"/>
      <x:c r="AC78" s="520"/>
      <x:c r="AD78" s="520"/>
      <x:c r="AE78" s="520"/>
      <x:c r="AF78" s="520"/>
      <x:c r="AG78" s="520"/>
      <x:c r="AH78" s="520"/>
      <x:c r="AI78" s="520"/>
      <x:c r="AJ78" s="520"/>
      <x:c r="AK78" s="520"/>
      <x:c r="AL78" s="520"/>
      <x:c r="AM78" s="520"/>
      <x:c r="AN78" s="520"/>
      <x:c r="AO78" s="521"/>
    </x:row>
    <x:row r="79" ht="19" customHeight="1">
      <x:c r="B79" s="510" t="str">
        <x:f>IF('CADASTRO DE LOJAS'!E81="SIM",'CADASTRO DE LOJAS'!B81,"")</x:f>
      </x:c>
      <x:c r="C79" s="520"/>
      <x:c r="D79" s="520"/>
      <x:c r="E79" s="520"/>
      <x:c r="F79" s="520"/>
      <x:c r="G79" s="520"/>
      <x:c r="H79" s="520"/>
      <x:c r="I79" s="520"/>
      <x:c r="J79" s="520"/>
      <x:c r="K79" s="520"/>
      <x:c r="L79" s="520"/>
      <x:c r="M79" s="520"/>
      <x:c r="N79" s="520"/>
      <x:c r="O79" s="520"/>
      <x:c r="P79" s="520"/>
      <x:c r="Q79" s="520"/>
      <x:c r="R79" s="520"/>
      <x:c r="S79" s="520"/>
      <x:c r="T79" s="520"/>
      <x:c r="U79" s="520"/>
      <x:c r="V79" s="520"/>
      <x:c r="W79" s="520"/>
      <x:c r="X79" s="520"/>
      <x:c r="Y79" s="520"/>
      <x:c r="Z79" s="520"/>
      <x:c r="AA79" s="520"/>
      <x:c r="AB79" s="520"/>
      <x:c r="AC79" s="520"/>
      <x:c r="AD79" s="520"/>
      <x:c r="AE79" s="520"/>
      <x:c r="AF79" s="520"/>
      <x:c r="AG79" s="520"/>
      <x:c r="AH79" s="520"/>
      <x:c r="AI79" s="520"/>
      <x:c r="AJ79" s="520"/>
      <x:c r="AK79" s="520"/>
      <x:c r="AL79" s="520"/>
      <x:c r="AM79" s="520"/>
      <x:c r="AN79" s="520"/>
      <x:c r="AO79" s="521"/>
    </x:row>
    <x:row r="80" ht="19" customHeight="1">
      <x:c r="B80" s="510" t="str">
        <x:f>IF('CADASTRO DE LOJAS'!E82="SIM",'CADASTRO DE LOJAS'!B82,"")</x:f>
      </x:c>
      <x:c r="C80" s="520"/>
      <x:c r="D80" s="520"/>
      <x:c r="E80" s="520"/>
      <x:c r="F80" s="520"/>
      <x:c r="G80" s="520"/>
      <x:c r="H80" s="520"/>
      <x:c r="I80" s="520"/>
      <x:c r="J80" s="520"/>
      <x:c r="K80" s="520"/>
      <x:c r="L80" s="520"/>
      <x:c r="M80" s="520"/>
      <x:c r="N80" s="520"/>
      <x:c r="O80" s="520"/>
      <x:c r="P80" s="520"/>
      <x:c r="Q80" s="520"/>
      <x:c r="R80" s="520"/>
      <x:c r="S80" s="520"/>
      <x:c r="T80" s="520"/>
      <x:c r="U80" s="520"/>
      <x:c r="V80" s="520"/>
      <x:c r="W80" s="520"/>
      <x:c r="X80" s="520"/>
      <x:c r="Y80" s="520"/>
      <x:c r="Z80" s="520"/>
      <x:c r="AA80" s="520"/>
      <x:c r="AB80" s="520"/>
      <x:c r="AC80" s="520"/>
      <x:c r="AD80" s="520"/>
      <x:c r="AE80" s="520"/>
      <x:c r="AF80" s="520"/>
      <x:c r="AG80" s="520"/>
      <x:c r="AH80" s="520"/>
      <x:c r="AI80" s="520"/>
      <x:c r="AJ80" s="520"/>
      <x:c r="AK80" s="520"/>
      <x:c r="AL80" s="520"/>
      <x:c r="AM80" s="520"/>
      <x:c r="AN80" s="520"/>
      <x:c r="AO80" s="521"/>
    </x:row>
    <x:row r="81" ht="19" customHeight="1">
      <x:c r="B81" s="510" t="str">
        <x:f>IF('CADASTRO DE LOJAS'!E83="SIM",'CADASTRO DE LOJAS'!B83,"")</x:f>
      </x:c>
      <x:c r="C81" s="520"/>
      <x:c r="D81" s="520"/>
      <x:c r="E81" s="520"/>
      <x:c r="F81" s="520"/>
      <x:c r="G81" s="520"/>
      <x:c r="H81" s="520"/>
      <x:c r="I81" s="520"/>
      <x:c r="J81" s="520"/>
      <x:c r="K81" s="520"/>
      <x:c r="L81" s="520"/>
      <x:c r="M81" s="520"/>
      <x:c r="N81" s="520"/>
      <x:c r="O81" s="520"/>
      <x:c r="P81" s="520"/>
      <x:c r="Q81" s="520"/>
      <x:c r="R81" s="520"/>
      <x:c r="S81" s="520"/>
      <x:c r="T81" s="520"/>
      <x:c r="U81" s="520"/>
      <x:c r="V81" s="520"/>
      <x:c r="W81" s="520"/>
      <x:c r="X81" s="520"/>
      <x:c r="Y81" s="520"/>
      <x:c r="Z81" s="520"/>
      <x:c r="AA81" s="520"/>
      <x:c r="AB81" s="520"/>
      <x:c r="AC81" s="520"/>
      <x:c r="AD81" s="520"/>
      <x:c r="AE81" s="520"/>
      <x:c r="AF81" s="520"/>
      <x:c r="AG81" s="520"/>
      <x:c r="AH81" s="520"/>
      <x:c r="AI81" s="520"/>
      <x:c r="AJ81" s="520"/>
      <x:c r="AK81" s="520"/>
      <x:c r="AL81" s="520"/>
      <x:c r="AM81" s="520"/>
      <x:c r="AN81" s="520"/>
      <x:c r="AO81" s="521"/>
    </x:row>
    <x:row r="82" ht="19" customHeight="1">
      <x:c r="B82" s="510" t="str">
        <x:f>IF('CADASTRO DE LOJAS'!E84="SIM",'CADASTRO DE LOJAS'!B84,"")</x:f>
      </x:c>
      <x:c r="C82" s="520"/>
      <x:c r="D82" s="520"/>
      <x:c r="E82" s="520"/>
      <x:c r="F82" s="520"/>
      <x:c r="G82" s="520"/>
      <x:c r="H82" s="520"/>
      <x:c r="I82" s="520"/>
      <x:c r="J82" s="520"/>
      <x:c r="K82" s="520"/>
      <x:c r="L82" s="520"/>
      <x:c r="M82" s="520"/>
      <x:c r="N82" s="520"/>
      <x:c r="O82" s="520"/>
      <x:c r="P82" s="520"/>
      <x:c r="Q82" s="520"/>
      <x:c r="R82" s="520"/>
      <x:c r="S82" s="520"/>
      <x:c r="T82" s="520"/>
      <x:c r="U82" s="520"/>
      <x:c r="V82" s="520"/>
      <x:c r="W82" s="520"/>
      <x:c r="X82" s="520"/>
      <x:c r="Y82" s="520"/>
      <x:c r="Z82" s="520"/>
      <x:c r="AA82" s="520"/>
      <x:c r="AB82" s="520"/>
      <x:c r="AC82" s="520"/>
      <x:c r="AD82" s="520"/>
      <x:c r="AE82" s="520"/>
      <x:c r="AF82" s="520"/>
      <x:c r="AG82" s="520"/>
      <x:c r="AH82" s="520"/>
      <x:c r="AI82" s="520"/>
      <x:c r="AJ82" s="520"/>
      <x:c r="AK82" s="520"/>
      <x:c r="AL82" s="520"/>
      <x:c r="AM82" s="520"/>
      <x:c r="AN82" s="520"/>
      <x:c r="AO82" s="521"/>
    </x:row>
    <x:row r="83" ht="19" customHeight="1">
      <x:c r="B83" s="510" t="str">
        <x:f>IF('CADASTRO DE LOJAS'!E85="SIM",'CADASTRO DE LOJAS'!B85,"")</x:f>
      </x:c>
      <x:c r="C83" s="520"/>
      <x:c r="D83" s="520"/>
      <x:c r="E83" s="520"/>
      <x:c r="F83" s="520"/>
      <x:c r="G83" s="520"/>
      <x:c r="H83" s="520"/>
      <x:c r="I83" s="520"/>
      <x:c r="J83" s="520"/>
      <x:c r="K83" s="520"/>
      <x:c r="L83" s="520"/>
      <x:c r="M83" s="520"/>
      <x:c r="N83" s="520"/>
      <x:c r="O83" s="520"/>
      <x:c r="P83" s="520"/>
      <x:c r="Q83" s="520"/>
      <x:c r="R83" s="520"/>
      <x:c r="S83" s="520"/>
      <x:c r="T83" s="520"/>
      <x:c r="U83" s="520"/>
      <x:c r="V83" s="520"/>
      <x:c r="W83" s="520"/>
      <x:c r="X83" s="520"/>
      <x:c r="Y83" s="520"/>
      <x:c r="Z83" s="520"/>
      <x:c r="AA83" s="520"/>
      <x:c r="AB83" s="520"/>
      <x:c r="AC83" s="520"/>
      <x:c r="AD83" s="520"/>
      <x:c r="AE83" s="520"/>
      <x:c r="AF83" s="520"/>
      <x:c r="AG83" s="520"/>
      <x:c r="AH83" s="520"/>
      <x:c r="AI83" s="520"/>
      <x:c r="AJ83" s="520"/>
      <x:c r="AK83" s="520"/>
      <x:c r="AL83" s="520"/>
      <x:c r="AM83" s="520"/>
      <x:c r="AN83" s="520"/>
      <x:c r="AO83" s="521"/>
    </x:row>
    <x:row r="84" ht="19" customHeight="1">
      <x:c r="B84" s="510" t="str">
        <x:f>IF('CADASTRO DE LOJAS'!E86="SIM",'CADASTRO DE LOJAS'!B86,"")</x:f>
      </x:c>
      <x:c r="C84" s="520"/>
      <x:c r="D84" s="520"/>
      <x:c r="E84" s="520"/>
      <x:c r="F84" s="520"/>
      <x:c r="G84" s="520"/>
      <x:c r="H84" s="520"/>
      <x:c r="I84" s="520"/>
      <x:c r="J84" s="520"/>
      <x:c r="K84" s="520"/>
      <x:c r="L84" s="520"/>
      <x:c r="M84" s="520"/>
      <x:c r="N84" s="520"/>
      <x:c r="O84" s="520"/>
      <x:c r="P84" s="520"/>
      <x:c r="Q84" s="520"/>
      <x:c r="R84" s="520"/>
      <x:c r="S84" s="520"/>
      <x:c r="T84" s="520"/>
      <x:c r="U84" s="520"/>
      <x:c r="V84" s="520"/>
      <x:c r="W84" s="520"/>
      <x:c r="X84" s="520"/>
      <x:c r="Y84" s="520"/>
      <x:c r="Z84" s="520"/>
      <x:c r="AA84" s="520"/>
      <x:c r="AB84" s="520"/>
      <x:c r="AC84" s="520"/>
      <x:c r="AD84" s="520"/>
      <x:c r="AE84" s="520"/>
      <x:c r="AF84" s="520"/>
      <x:c r="AG84" s="520"/>
      <x:c r="AH84" s="520"/>
      <x:c r="AI84" s="520"/>
      <x:c r="AJ84" s="520"/>
      <x:c r="AK84" s="520"/>
      <x:c r="AL84" s="520"/>
      <x:c r="AM84" s="520"/>
      <x:c r="AN84" s="520"/>
      <x:c r="AO84" s="521"/>
    </x:row>
    <x:row r="85" ht="19" customHeight="1">
      <x:c r="B85" s="510" t="str">
        <x:f>IF('CADASTRO DE LOJAS'!E87="SIM",'CADASTRO DE LOJAS'!B87,"")</x:f>
      </x:c>
      <x:c r="C85" s="520"/>
      <x:c r="D85" s="520"/>
      <x:c r="E85" s="520"/>
      <x:c r="F85" s="520"/>
      <x:c r="G85" s="520"/>
      <x:c r="H85" s="520"/>
      <x:c r="I85" s="520"/>
      <x:c r="J85" s="520"/>
      <x:c r="K85" s="520"/>
      <x:c r="L85" s="520"/>
      <x:c r="M85" s="520"/>
      <x:c r="N85" s="520"/>
      <x:c r="O85" s="520"/>
      <x:c r="P85" s="520"/>
      <x:c r="Q85" s="520"/>
      <x:c r="R85" s="520"/>
      <x:c r="S85" s="520"/>
      <x:c r="T85" s="520"/>
      <x:c r="U85" s="520"/>
      <x:c r="V85" s="520"/>
      <x:c r="W85" s="520"/>
      <x:c r="X85" s="520"/>
      <x:c r="Y85" s="520"/>
      <x:c r="Z85" s="520"/>
      <x:c r="AA85" s="520"/>
      <x:c r="AB85" s="520"/>
      <x:c r="AC85" s="520"/>
      <x:c r="AD85" s="520"/>
      <x:c r="AE85" s="520"/>
      <x:c r="AF85" s="520"/>
      <x:c r="AG85" s="520"/>
      <x:c r="AH85" s="520"/>
      <x:c r="AI85" s="520"/>
      <x:c r="AJ85" s="520"/>
      <x:c r="AK85" s="520"/>
      <x:c r="AL85" s="520"/>
      <x:c r="AM85" s="520"/>
      <x:c r="AN85" s="520"/>
      <x:c r="AO85" s="521"/>
    </x:row>
    <x:row r="86" ht="19" customHeight="1">
      <x:c r="B86" s="510" t="str">
        <x:f>IF('CADASTRO DE LOJAS'!E88="SIM",'CADASTRO DE LOJAS'!B88,"")</x:f>
      </x:c>
      <x:c r="C86" s="520"/>
      <x:c r="D86" s="520"/>
      <x:c r="E86" s="520"/>
      <x:c r="F86" s="520"/>
      <x:c r="G86" s="520"/>
      <x:c r="H86" s="520"/>
      <x:c r="I86" s="520"/>
      <x:c r="J86" s="520"/>
      <x:c r="K86" s="520"/>
      <x:c r="L86" s="520"/>
      <x:c r="M86" s="520"/>
      <x:c r="N86" s="520"/>
      <x:c r="O86" s="520"/>
      <x:c r="P86" s="520"/>
      <x:c r="Q86" s="520"/>
      <x:c r="R86" s="520"/>
      <x:c r="S86" s="520"/>
      <x:c r="T86" s="520"/>
      <x:c r="U86" s="520"/>
      <x:c r="V86" s="520"/>
      <x:c r="W86" s="520"/>
      <x:c r="X86" s="520"/>
      <x:c r="Y86" s="520"/>
      <x:c r="Z86" s="520"/>
      <x:c r="AA86" s="520"/>
      <x:c r="AB86" s="520"/>
      <x:c r="AC86" s="520"/>
      <x:c r="AD86" s="520"/>
      <x:c r="AE86" s="520"/>
      <x:c r="AF86" s="520"/>
      <x:c r="AG86" s="520"/>
      <x:c r="AH86" s="520"/>
      <x:c r="AI86" s="520"/>
      <x:c r="AJ86" s="520"/>
      <x:c r="AK86" s="520"/>
      <x:c r="AL86" s="520"/>
      <x:c r="AM86" s="520"/>
      <x:c r="AN86" s="520"/>
      <x:c r="AO86" s="521"/>
    </x:row>
    <x:row r="87" ht="19" customHeight="1">
      <x:c r="B87" s="510" t="str">
        <x:f>IF('CADASTRO DE LOJAS'!E89="SIM",'CADASTRO DE LOJAS'!B89,"")</x:f>
      </x:c>
      <x:c r="C87" s="520"/>
      <x:c r="D87" s="520"/>
      <x:c r="E87" s="520"/>
      <x:c r="F87" s="520"/>
      <x:c r="G87" s="520"/>
      <x:c r="H87" s="520"/>
      <x:c r="I87" s="520"/>
      <x:c r="J87" s="520"/>
      <x:c r="K87" s="520"/>
      <x:c r="L87" s="520"/>
      <x:c r="M87" s="520"/>
      <x:c r="N87" s="520"/>
      <x:c r="O87" s="520"/>
      <x:c r="P87" s="520"/>
      <x:c r="Q87" s="520"/>
      <x:c r="R87" s="520"/>
      <x:c r="S87" s="520"/>
      <x:c r="T87" s="520"/>
      <x:c r="U87" s="520"/>
      <x:c r="V87" s="520"/>
      <x:c r="W87" s="520"/>
      <x:c r="X87" s="520"/>
      <x:c r="Y87" s="520"/>
      <x:c r="Z87" s="520"/>
      <x:c r="AA87" s="520"/>
      <x:c r="AB87" s="520"/>
      <x:c r="AC87" s="520"/>
      <x:c r="AD87" s="520"/>
      <x:c r="AE87" s="520"/>
      <x:c r="AF87" s="520"/>
      <x:c r="AG87" s="520"/>
      <x:c r="AH87" s="520"/>
      <x:c r="AI87" s="520"/>
      <x:c r="AJ87" s="520"/>
      <x:c r="AK87" s="520"/>
      <x:c r="AL87" s="520"/>
      <x:c r="AM87" s="520"/>
      <x:c r="AN87" s="520"/>
      <x:c r="AO87" s="521"/>
    </x:row>
    <x:row r="88" ht="19" customHeight="1">
      <x:c r="B88" s="510" t="str">
        <x:f>IF('CADASTRO DE LOJAS'!E90="SIM",'CADASTRO DE LOJAS'!B90,"")</x:f>
      </x:c>
      <x:c r="C88" s="520"/>
      <x:c r="D88" s="520"/>
      <x:c r="E88" s="520"/>
      <x:c r="F88" s="520"/>
      <x:c r="G88" s="520"/>
      <x:c r="H88" s="520"/>
      <x:c r="I88" s="520"/>
      <x:c r="J88" s="520"/>
      <x:c r="K88" s="520"/>
      <x:c r="L88" s="520"/>
      <x:c r="M88" s="520"/>
      <x:c r="N88" s="520"/>
      <x:c r="O88" s="520"/>
      <x:c r="P88" s="520"/>
      <x:c r="Q88" s="520"/>
      <x:c r="R88" s="520"/>
      <x:c r="S88" s="520"/>
      <x:c r="T88" s="520"/>
      <x:c r="U88" s="520"/>
      <x:c r="V88" s="520"/>
      <x:c r="W88" s="520"/>
      <x:c r="X88" s="520"/>
      <x:c r="Y88" s="520"/>
      <x:c r="Z88" s="520"/>
      <x:c r="AA88" s="520"/>
      <x:c r="AB88" s="520"/>
      <x:c r="AC88" s="520"/>
      <x:c r="AD88" s="520"/>
      <x:c r="AE88" s="520"/>
      <x:c r="AF88" s="520"/>
      <x:c r="AG88" s="520"/>
      <x:c r="AH88" s="520"/>
      <x:c r="AI88" s="520"/>
      <x:c r="AJ88" s="520"/>
      <x:c r="AK88" s="520"/>
      <x:c r="AL88" s="520"/>
      <x:c r="AM88" s="520"/>
      <x:c r="AN88" s="520"/>
      <x:c r="AO88" s="521"/>
    </x:row>
    <x:row r="89" ht="19" customHeight="1">
      <x:c r="B89" s="510" t="str">
        <x:f>IF('CADASTRO DE LOJAS'!E91="SIM",'CADASTRO DE LOJAS'!B91,"")</x:f>
      </x:c>
      <x:c r="C89" s="520"/>
      <x:c r="D89" s="520"/>
      <x:c r="E89" s="520"/>
      <x:c r="F89" s="520"/>
      <x:c r="G89" s="520"/>
      <x:c r="H89" s="520"/>
      <x:c r="I89" s="520"/>
      <x:c r="J89" s="520"/>
      <x:c r="K89" s="520"/>
      <x:c r="L89" s="520"/>
      <x:c r="M89" s="520"/>
      <x:c r="N89" s="520"/>
      <x:c r="O89" s="520"/>
      <x:c r="P89" s="520"/>
      <x:c r="Q89" s="520"/>
      <x:c r="R89" s="520"/>
      <x:c r="S89" s="520"/>
      <x:c r="T89" s="520"/>
      <x:c r="U89" s="520"/>
      <x:c r="V89" s="520"/>
      <x:c r="W89" s="520"/>
      <x:c r="X89" s="520"/>
      <x:c r="Y89" s="520"/>
      <x:c r="Z89" s="520"/>
      <x:c r="AA89" s="520"/>
      <x:c r="AB89" s="520"/>
      <x:c r="AC89" s="520"/>
      <x:c r="AD89" s="520"/>
      <x:c r="AE89" s="520"/>
      <x:c r="AF89" s="520"/>
      <x:c r="AG89" s="520"/>
      <x:c r="AH89" s="520"/>
      <x:c r="AI89" s="520"/>
      <x:c r="AJ89" s="520"/>
      <x:c r="AK89" s="520"/>
      <x:c r="AL89" s="520"/>
      <x:c r="AM89" s="520"/>
      <x:c r="AN89" s="520"/>
      <x:c r="AO89" s="521"/>
    </x:row>
    <x:row r="90" ht="19" customHeight="1">
      <x:c r="B90" s="510" t="str">
        <x:f>IF('CADASTRO DE LOJAS'!E92="SIM",'CADASTRO DE LOJAS'!B92,"")</x:f>
      </x:c>
      <x:c r="C90" s="520"/>
      <x:c r="D90" s="520"/>
      <x:c r="E90" s="520"/>
      <x:c r="F90" s="520"/>
      <x:c r="G90" s="520"/>
      <x:c r="H90" s="520"/>
      <x:c r="I90" s="520"/>
      <x:c r="J90" s="520"/>
      <x:c r="K90" s="520"/>
      <x:c r="L90" s="520"/>
      <x:c r="M90" s="520"/>
      <x:c r="N90" s="520"/>
      <x:c r="O90" s="520"/>
      <x:c r="P90" s="520"/>
      <x:c r="Q90" s="520"/>
      <x:c r="R90" s="520"/>
      <x:c r="S90" s="520"/>
      <x:c r="T90" s="520"/>
      <x:c r="U90" s="520"/>
      <x:c r="V90" s="520"/>
      <x:c r="W90" s="520"/>
      <x:c r="X90" s="520"/>
      <x:c r="Y90" s="520"/>
      <x:c r="Z90" s="520"/>
      <x:c r="AA90" s="520"/>
      <x:c r="AB90" s="520"/>
      <x:c r="AC90" s="520"/>
      <x:c r="AD90" s="520"/>
      <x:c r="AE90" s="520"/>
      <x:c r="AF90" s="520"/>
      <x:c r="AG90" s="520"/>
      <x:c r="AH90" s="520"/>
      <x:c r="AI90" s="520"/>
      <x:c r="AJ90" s="520"/>
      <x:c r="AK90" s="520"/>
      <x:c r="AL90" s="520"/>
      <x:c r="AM90" s="520"/>
      <x:c r="AN90" s="520"/>
      <x:c r="AO90" s="521"/>
    </x:row>
    <x:row r="91" ht="19" customHeight="1">
      <x:c r="B91" s="510" t="str">
        <x:f>IF('CADASTRO DE LOJAS'!E93="SIM",'CADASTRO DE LOJAS'!B93,"")</x:f>
      </x:c>
      <x:c r="C91" s="520"/>
      <x:c r="D91" s="520"/>
      <x:c r="E91" s="520"/>
      <x:c r="F91" s="520"/>
      <x:c r="G91" s="520"/>
      <x:c r="H91" s="520"/>
      <x:c r="I91" s="520"/>
      <x:c r="J91" s="520"/>
      <x:c r="K91" s="520"/>
      <x:c r="L91" s="520"/>
      <x:c r="M91" s="520"/>
      <x:c r="N91" s="520"/>
      <x:c r="O91" s="520"/>
      <x:c r="P91" s="520"/>
      <x:c r="Q91" s="520"/>
      <x:c r="R91" s="520"/>
      <x:c r="S91" s="520"/>
      <x:c r="T91" s="520"/>
      <x:c r="U91" s="520"/>
      <x:c r="V91" s="520"/>
      <x:c r="W91" s="520"/>
      <x:c r="X91" s="520"/>
      <x:c r="Y91" s="520"/>
      <x:c r="Z91" s="520"/>
      <x:c r="AA91" s="520"/>
      <x:c r="AB91" s="520"/>
      <x:c r="AC91" s="520"/>
      <x:c r="AD91" s="520"/>
      <x:c r="AE91" s="520"/>
      <x:c r="AF91" s="520"/>
      <x:c r="AG91" s="520"/>
      <x:c r="AH91" s="520"/>
      <x:c r="AI91" s="520"/>
      <x:c r="AJ91" s="520"/>
      <x:c r="AK91" s="520"/>
      <x:c r="AL91" s="520"/>
      <x:c r="AM91" s="520"/>
      <x:c r="AN91" s="520"/>
      <x:c r="AO91" s="521"/>
    </x:row>
    <x:row r="92" ht="19" customHeight="1">
      <x:c r="B92" s="510" t="str">
        <x:f>IF('CADASTRO DE LOJAS'!E94="SIM",'CADASTRO DE LOJAS'!B94,"")</x:f>
      </x:c>
      <x:c r="C92" s="520"/>
      <x:c r="D92" s="520"/>
      <x:c r="E92" s="520"/>
      <x:c r="F92" s="520"/>
      <x:c r="G92" s="520"/>
      <x:c r="H92" s="520"/>
      <x:c r="I92" s="520"/>
      <x:c r="J92" s="520"/>
      <x:c r="K92" s="520"/>
      <x:c r="L92" s="520"/>
      <x:c r="M92" s="520"/>
      <x:c r="N92" s="520"/>
      <x:c r="O92" s="520"/>
      <x:c r="P92" s="520"/>
      <x:c r="Q92" s="520"/>
      <x:c r="R92" s="520"/>
      <x:c r="S92" s="520"/>
      <x:c r="T92" s="520"/>
      <x:c r="U92" s="520"/>
      <x:c r="V92" s="520"/>
      <x:c r="W92" s="520"/>
      <x:c r="X92" s="520"/>
      <x:c r="Y92" s="520"/>
      <x:c r="Z92" s="520"/>
      <x:c r="AA92" s="520"/>
      <x:c r="AB92" s="520"/>
      <x:c r="AC92" s="520"/>
      <x:c r="AD92" s="520"/>
      <x:c r="AE92" s="520"/>
      <x:c r="AF92" s="520"/>
      <x:c r="AG92" s="520"/>
      <x:c r="AH92" s="520"/>
      <x:c r="AI92" s="520"/>
      <x:c r="AJ92" s="520"/>
      <x:c r="AK92" s="520"/>
      <x:c r="AL92" s="520"/>
      <x:c r="AM92" s="520"/>
      <x:c r="AN92" s="520"/>
      <x:c r="AO92" s="521"/>
    </x:row>
    <x:row r="93" ht="19" customHeight="1">
      <x:c r="B93" s="510" t="str">
        <x:f>IF('CADASTRO DE LOJAS'!E95="SIM",'CADASTRO DE LOJAS'!B95,"")</x:f>
      </x:c>
      <x:c r="C93" s="520"/>
      <x:c r="D93" s="520"/>
      <x:c r="E93" s="520"/>
      <x:c r="F93" s="520"/>
      <x:c r="G93" s="520"/>
      <x:c r="H93" s="520"/>
      <x:c r="I93" s="520"/>
      <x:c r="J93" s="520"/>
      <x:c r="K93" s="520"/>
      <x:c r="L93" s="520"/>
      <x:c r="M93" s="520"/>
      <x:c r="N93" s="520"/>
      <x:c r="O93" s="520"/>
      <x:c r="P93" s="520"/>
      <x:c r="Q93" s="520"/>
      <x:c r="R93" s="520"/>
      <x:c r="S93" s="520"/>
      <x:c r="T93" s="520"/>
      <x:c r="U93" s="520"/>
      <x:c r="V93" s="520"/>
      <x:c r="W93" s="520"/>
      <x:c r="X93" s="520"/>
      <x:c r="Y93" s="520"/>
      <x:c r="Z93" s="520"/>
      <x:c r="AA93" s="520"/>
      <x:c r="AB93" s="520"/>
      <x:c r="AC93" s="520"/>
      <x:c r="AD93" s="520"/>
      <x:c r="AE93" s="520"/>
      <x:c r="AF93" s="520"/>
      <x:c r="AG93" s="520"/>
      <x:c r="AH93" s="520"/>
      <x:c r="AI93" s="520"/>
      <x:c r="AJ93" s="520"/>
      <x:c r="AK93" s="520"/>
      <x:c r="AL93" s="520"/>
      <x:c r="AM93" s="520"/>
      <x:c r="AN93" s="520"/>
      <x:c r="AO93" s="521"/>
    </x:row>
    <x:row r="94" ht="19" customHeight="1">
      <x:c r="B94" s="510" t="str">
        <x:f>IF('CADASTRO DE LOJAS'!E96="SIM",'CADASTRO DE LOJAS'!B96,"")</x:f>
      </x:c>
      <x:c r="C94" s="520"/>
      <x:c r="D94" s="520"/>
      <x:c r="E94" s="520"/>
      <x:c r="F94" s="520"/>
      <x:c r="G94" s="520"/>
      <x:c r="H94" s="520"/>
      <x:c r="I94" s="520"/>
      <x:c r="J94" s="520"/>
      <x:c r="K94" s="520"/>
      <x:c r="L94" s="520"/>
      <x:c r="M94" s="520"/>
      <x:c r="N94" s="520"/>
      <x:c r="O94" s="520"/>
      <x:c r="P94" s="520"/>
      <x:c r="Q94" s="520"/>
      <x:c r="R94" s="520"/>
      <x:c r="S94" s="520"/>
      <x:c r="T94" s="520"/>
      <x:c r="U94" s="520"/>
      <x:c r="V94" s="520"/>
      <x:c r="W94" s="520"/>
      <x:c r="X94" s="520"/>
      <x:c r="Y94" s="520"/>
      <x:c r="Z94" s="520"/>
      <x:c r="AA94" s="520"/>
      <x:c r="AB94" s="520"/>
      <x:c r="AC94" s="520"/>
      <x:c r="AD94" s="520"/>
      <x:c r="AE94" s="520"/>
      <x:c r="AF94" s="520"/>
      <x:c r="AG94" s="520"/>
      <x:c r="AH94" s="520"/>
      <x:c r="AI94" s="520"/>
      <x:c r="AJ94" s="520"/>
      <x:c r="AK94" s="520"/>
      <x:c r="AL94" s="520"/>
      <x:c r="AM94" s="520"/>
      <x:c r="AN94" s="520"/>
      <x:c r="AO94" s="521"/>
    </x:row>
    <x:row r="95" ht="19" customHeight="1">
      <x:c r="B95" s="510" t="str">
        <x:f>IF('CADASTRO DE LOJAS'!E97="SIM",'CADASTRO DE LOJAS'!B97,"")</x:f>
      </x:c>
      <x:c r="C95" s="520"/>
      <x:c r="D95" s="520"/>
      <x:c r="E95" s="520"/>
      <x:c r="F95" s="520"/>
      <x:c r="G95" s="520"/>
      <x:c r="H95" s="520"/>
      <x:c r="I95" s="520"/>
      <x:c r="J95" s="520"/>
      <x:c r="K95" s="520"/>
      <x:c r="L95" s="520"/>
      <x:c r="M95" s="520"/>
      <x:c r="N95" s="520"/>
      <x:c r="O95" s="520"/>
      <x:c r="P95" s="520"/>
      <x:c r="Q95" s="520"/>
      <x:c r="R95" s="520"/>
      <x:c r="S95" s="520"/>
      <x:c r="T95" s="520"/>
      <x:c r="U95" s="520"/>
      <x:c r="V95" s="520"/>
      <x:c r="W95" s="520"/>
      <x:c r="X95" s="520"/>
      <x:c r="Y95" s="520"/>
      <x:c r="Z95" s="520"/>
      <x:c r="AA95" s="520"/>
      <x:c r="AB95" s="520"/>
      <x:c r="AC95" s="520"/>
      <x:c r="AD95" s="520"/>
      <x:c r="AE95" s="520"/>
      <x:c r="AF95" s="520"/>
      <x:c r="AG95" s="520"/>
      <x:c r="AH95" s="520"/>
      <x:c r="AI95" s="520"/>
      <x:c r="AJ95" s="520"/>
      <x:c r="AK95" s="520"/>
      <x:c r="AL95" s="520"/>
      <x:c r="AM95" s="520"/>
      <x:c r="AN95" s="520"/>
      <x:c r="AO95" s="521"/>
    </x:row>
    <x:row r="96" ht="19" customHeight="1">
      <x:c r="B96" s="510" t="str">
        <x:f>IF('CADASTRO DE LOJAS'!E98="SIM",'CADASTRO DE LOJAS'!B98,"")</x:f>
      </x:c>
      <x:c r="C96" s="520"/>
      <x:c r="D96" s="520"/>
      <x:c r="E96" s="520"/>
      <x:c r="F96" s="520"/>
      <x:c r="G96" s="520"/>
      <x:c r="H96" s="520"/>
      <x:c r="I96" s="520"/>
      <x:c r="J96" s="520"/>
      <x:c r="K96" s="520"/>
      <x:c r="L96" s="520"/>
      <x:c r="M96" s="520"/>
      <x:c r="N96" s="520"/>
      <x:c r="O96" s="520"/>
      <x:c r="P96" s="520"/>
      <x:c r="Q96" s="520"/>
      <x:c r="R96" s="520"/>
      <x:c r="S96" s="520"/>
      <x:c r="T96" s="520"/>
      <x:c r="U96" s="520"/>
      <x:c r="V96" s="520"/>
      <x:c r="W96" s="520"/>
      <x:c r="X96" s="520"/>
      <x:c r="Y96" s="520"/>
      <x:c r="Z96" s="520"/>
      <x:c r="AA96" s="520"/>
      <x:c r="AB96" s="520"/>
      <x:c r="AC96" s="520"/>
      <x:c r="AD96" s="520"/>
      <x:c r="AE96" s="520"/>
      <x:c r="AF96" s="520"/>
      <x:c r="AG96" s="520"/>
      <x:c r="AH96" s="520"/>
      <x:c r="AI96" s="520"/>
      <x:c r="AJ96" s="520"/>
      <x:c r="AK96" s="520"/>
      <x:c r="AL96" s="520"/>
      <x:c r="AM96" s="520"/>
      <x:c r="AN96" s="520"/>
      <x:c r="AO96" s="521"/>
    </x:row>
    <x:row r="97" ht="19" customHeight="1">
      <x:c r="B97" s="510" t="str">
        <x:f>IF('CADASTRO DE LOJAS'!E99="SIM",'CADASTRO DE LOJAS'!B99,"")</x:f>
      </x:c>
      <x:c r="C97" s="520"/>
      <x:c r="D97" s="520"/>
      <x:c r="E97" s="520"/>
      <x:c r="F97" s="520"/>
      <x:c r="G97" s="520"/>
      <x:c r="H97" s="520"/>
      <x:c r="I97" s="520"/>
      <x:c r="J97" s="520"/>
      <x:c r="K97" s="520"/>
      <x:c r="L97" s="520"/>
      <x:c r="M97" s="520"/>
      <x:c r="N97" s="520"/>
      <x:c r="O97" s="520"/>
      <x:c r="P97" s="520"/>
      <x:c r="Q97" s="520"/>
      <x:c r="R97" s="520"/>
      <x:c r="S97" s="520"/>
      <x:c r="T97" s="520"/>
      <x:c r="U97" s="520"/>
      <x:c r="V97" s="520"/>
      <x:c r="W97" s="520"/>
      <x:c r="X97" s="520"/>
      <x:c r="Y97" s="520"/>
      <x:c r="Z97" s="520"/>
      <x:c r="AA97" s="520"/>
      <x:c r="AB97" s="520"/>
      <x:c r="AC97" s="520"/>
      <x:c r="AD97" s="520"/>
      <x:c r="AE97" s="520"/>
      <x:c r="AF97" s="520"/>
      <x:c r="AG97" s="520"/>
      <x:c r="AH97" s="520"/>
      <x:c r="AI97" s="520"/>
      <x:c r="AJ97" s="520"/>
      <x:c r="AK97" s="520"/>
      <x:c r="AL97" s="520"/>
      <x:c r="AM97" s="520"/>
      <x:c r="AN97" s="520"/>
      <x:c r="AO97" s="521"/>
    </x:row>
    <x:row r="98" ht="19" customHeight="1">
      <x:c r="B98" s="510" t="str">
        <x:f>IF('CADASTRO DE LOJAS'!E100="SIM",'CADASTRO DE LOJAS'!B100,"")</x:f>
      </x:c>
      <x:c r="C98" s="520"/>
      <x:c r="D98" s="520"/>
      <x:c r="E98" s="520"/>
      <x:c r="F98" s="520"/>
      <x:c r="G98" s="520"/>
      <x:c r="H98" s="520"/>
      <x:c r="I98" s="520"/>
      <x:c r="J98" s="520"/>
      <x:c r="K98" s="520"/>
      <x:c r="L98" s="520"/>
      <x:c r="M98" s="520"/>
      <x:c r="N98" s="520"/>
      <x:c r="O98" s="520"/>
      <x:c r="P98" s="520"/>
      <x:c r="Q98" s="520"/>
      <x:c r="R98" s="520"/>
      <x:c r="S98" s="520"/>
      <x:c r="T98" s="520"/>
      <x:c r="U98" s="520"/>
      <x:c r="V98" s="520"/>
      <x:c r="W98" s="520"/>
      <x:c r="X98" s="520"/>
      <x:c r="Y98" s="520"/>
      <x:c r="Z98" s="520"/>
      <x:c r="AA98" s="520"/>
      <x:c r="AB98" s="520"/>
      <x:c r="AC98" s="520"/>
      <x:c r="AD98" s="520"/>
      <x:c r="AE98" s="520"/>
      <x:c r="AF98" s="520"/>
      <x:c r="AG98" s="520"/>
      <x:c r="AH98" s="520"/>
      <x:c r="AI98" s="520"/>
      <x:c r="AJ98" s="520"/>
      <x:c r="AK98" s="520"/>
      <x:c r="AL98" s="520"/>
      <x:c r="AM98" s="520"/>
      <x:c r="AN98" s="520"/>
      <x:c r="AO98" s="521"/>
    </x:row>
    <x:row r="99" ht="19" customHeight="1">
      <x:c r="B99" s="510" t="str">
        <x:f>IF('CADASTRO DE LOJAS'!E101="SIM",'CADASTRO DE LOJAS'!B101,"")</x:f>
      </x:c>
      <x:c r="C99" s="520"/>
      <x:c r="D99" s="520"/>
      <x:c r="E99" s="520"/>
      <x:c r="F99" s="520"/>
      <x:c r="G99" s="520"/>
      <x:c r="H99" s="520"/>
      <x:c r="I99" s="520"/>
      <x:c r="J99" s="520"/>
      <x:c r="K99" s="520"/>
      <x:c r="L99" s="520"/>
      <x:c r="M99" s="520"/>
      <x:c r="N99" s="520"/>
      <x:c r="O99" s="520"/>
      <x:c r="P99" s="520"/>
      <x:c r="Q99" s="520"/>
      <x:c r="R99" s="520"/>
      <x:c r="S99" s="520"/>
      <x:c r="T99" s="520"/>
      <x:c r="U99" s="520"/>
      <x:c r="V99" s="520"/>
      <x:c r="W99" s="520"/>
      <x:c r="X99" s="520"/>
      <x:c r="Y99" s="520"/>
      <x:c r="Z99" s="520"/>
      <x:c r="AA99" s="520"/>
      <x:c r="AB99" s="520"/>
      <x:c r="AC99" s="520"/>
      <x:c r="AD99" s="520"/>
      <x:c r="AE99" s="520"/>
      <x:c r="AF99" s="520"/>
      <x:c r="AG99" s="520"/>
      <x:c r="AH99" s="520"/>
      <x:c r="AI99" s="520"/>
      <x:c r="AJ99" s="520"/>
      <x:c r="AK99" s="520"/>
      <x:c r="AL99" s="520"/>
      <x:c r="AM99" s="520"/>
      <x:c r="AN99" s="520"/>
      <x:c r="AO99" s="521"/>
    </x:row>
    <x:row r="100" ht="19" customHeight="1">
      <x:c r="B100" s="510" t="str">
        <x:f>IF('CADASTRO DE LOJAS'!E102="SIM",'CADASTRO DE LOJAS'!B102,"")</x:f>
      </x:c>
      <x:c r="C100" s="520"/>
      <x:c r="D100" s="520"/>
      <x:c r="E100" s="520"/>
      <x:c r="F100" s="520"/>
      <x:c r="G100" s="520"/>
      <x:c r="H100" s="520"/>
      <x:c r="I100" s="520"/>
      <x:c r="J100" s="520"/>
      <x:c r="K100" s="520"/>
      <x:c r="L100" s="520"/>
      <x:c r="M100" s="520"/>
      <x:c r="N100" s="520"/>
      <x:c r="O100" s="520"/>
      <x:c r="P100" s="520"/>
      <x:c r="Q100" s="520"/>
      <x:c r="R100" s="520"/>
      <x:c r="S100" s="520"/>
      <x:c r="T100" s="520"/>
      <x:c r="U100" s="520"/>
      <x:c r="V100" s="520"/>
      <x:c r="W100" s="520"/>
      <x:c r="X100" s="520"/>
      <x:c r="Y100" s="520"/>
      <x:c r="Z100" s="520"/>
      <x:c r="AA100" s="520"/>
      <x:c r="AB100" s="520"/>
      <x:c r="AC100" s="520"/>
      <x:c r="AD100" s="520"/>
      <x:c r="AE100" s="520"/>
      <x:c r="AF100" s="520"/>
      <x:c r="AG100" s="520"/>
      <x:c r="AH100" s="520"/>
      <x:c r="AI100" s="520"/>
      <x:c r="AJ100" s="520"/>
      <x:c r="AK100" s="520"/>
      <x:c r="AL100" s="520"/>
      <x:c r="AM100" s="520"/>
      <x:c r="AN100" s="520"/>
      <x:c r="AO100" s="521"/>
    </x:row>
    <x:row r="101" ht="19" customHeight="1">
      <x:c r="B101" s="510" t="str">
        <x:f>IF('CADASTRO DE LOJAS'!E103="SIM",'CADASTRO DE LOJAS'!B103,"")</x:f>
      </x:c>
      <x:c r="C101" s="520"/>
      <x:c r="D101" s="520"/>
      <x:c r="E101" s="520"/>
      <x:c r="F101" s="520"/>
      <x:c r="G101" s="520"/>
      <x:c r="H101" s="520"/>
      <x:c r="I101" s="520"/>
      <x:c r="J101" s="520"/>
      <x:c r="K101" s="520"/>
      <x:c r="L101" s="520"/>
      <x:c r="M101" s="520"/>
      <x:c r="N101" s="520"/>
      <x:c r="O101" s="520"/>
      <x:c r="P101" s="520"/>
      <x:c r="Q101" s="520"/>
      <x:c r="R101" s="520"/>
      <x:c r="S101" s="520"/>
      <x:c r="T101" s="520"/>
      <x:c r="U101" s="520"/>
      <x:c r="V101" s="520"/>
      <x:c r="W101" s="520"/>
      <x:c r="X101" s="520"/>
      <x:c r="Y101" s="520"/>
      <x:c r="Z101" s="520"/>
      <x:c r="AA101" s="520"/>
      <x:c r="AB101" s="520"/>
      <x:c r="AC101" s="520"/>
      <x:c r="AD101" s="520"/>
      <x:c r="AE101" s="520"/>
      <x:c r="AF101" s="520"/>
      <x:c r="AG101" s="520"/>
      <x:c r="AH101" s="520"/>
      <x:c r="AI101" s="520"/>
      <x:c r="AJ101" s="520"/>
      <x:c r="AK101" s="520"/>
      <x:c r="AL101" s="520"/>
      <x:c r="AM101" s="520"/>
      <x:c r="AN101" s="520"/>
      <x:c r="AO101" s="521"/>
    </x:row>
    <x:row r="102" ht="19" customHeight="1">
      <x:c r="B102" s="511" t="str">
        <x:f>IF('CADASTRO DE LOJAS'!E104="SIM",'CADASTRO DE LOJAS'!B104,"")</x:f>
      </x:c>
      <x:c r="C102" s="522"/>
      <x:c r="D102" s="522"/>
      <x:c r="E102" s="522"/>
      <x:c r="F102" s="522"/>
      <x:c r="G102" s="522"/>
      <x:c r="H102" s="522"/>
      <x:c r="I102" s="522"/>
      <x:c r="J102" s="522"/>
      <x:c r="K102" s="522"/>
      <x:c r="L102" s="522"/>
      <x:c r="M102" s="522"/>
      <x:c r="N102" s="522"/>
      <x:c r="O102" s="522"/>
      <x:c r="P102" s="522"/>
      <x:c r="Q102" s="522"/>
      <x:c r="R102" s="522"/>
      <x:c r="S102" s="522"/>
      <x:c r="T102" s="522"/>
      <x:c r="U102" s="522"/>
      <x:c r="V102" s="522"/>
      <x:c r="W102" s="522"/>
      <x:c r="X102" s="522"/>
      <x:c r="Y102" s="522"/>
      <x:c r="Z102" s="522"/>
      <x:c r="AA102" s="522"/>
      <x:c r="AB102" s="522"/>
      <x:c r="AC102" s="522"/>
      <x:c r="AD102" s="522"/>
      <x:c r="AE102" s="522"/>
      <x:c r="AF102" s="522"/>
      <x:c r="AG102" s="522"/>
      <x:c r="AH102" s="522"/>
      <x:c r="AI102" s="522"/>
      <x:c r="AJ102" s="522"/>
      <x:c r="AK102" s="522"/>
      <x:c r="AL102" s="522"/>
      <x:c r="AM102" s="522"/>
      <x:c r="AN102" s="522"/>
      <x:c r="AO102" s="523"/>
    </x:row>
  </x:sheetData>
  <x:mergeCells>
    <x:mergeCell ref="A1:AO1"/>
  </x:mergeCells>
  <x:conditionalFormatting sqref="B3:AO102">
    <x:cfRule type="expression" dxfId="30" priority="1">
      <x:formula>MOD(ROW(),2)=0</x:formula>
    </x:cfRule>
  </x:conditionalFormatting>
  <x:conditionalFormatting sqref="B63:AO102">
    <x:cfRule type="expression" dxfId="31" priority="2">
      <x:formula>$B63=""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4" hidden="0" customWidth="1"/>
    <x:col min="4" max="4" width="24" hidden="0" customWidth="1"/>
    <x:col min="5" max="5" width="10" hidden="0" customWidth="1"/>
    <x:col min="6" max="6" width="38" hidden="0" customWidth="1"/>
    <x:col min="7" max="7" width="3" hidden="0" customWidth="1"/>
    <x:col min="8" max="8" width="14" hidden="0" customWidth="1"/>
    <x:col min="9" max="9" width="16" hidden="0" customWidth="1"/>
    <x:col min="11" max="11" width="14" hidden="0" customWidth="1"/>
    <x:col min="12" max="12" width="6" hidden="0" customWidth="1"/>
  </x:cols>
  <x:sheetData>
    <x:row r="1" ht="24" customHeight="1">
      <x:c r="A1" s="195" t="str">
        <x:v>CENTRAL DE CADASTRO DE LOJAS</x:v>
      </x:c>
      <x:c r="B1" s="195"/>
      <x:c r="C1" s="195"/>
      <x:c r="D1" s="195"/>
      <x:c r="E1" s="195"/>
      <x:c r="F1" s="195"/>
      <x:c r="H1" s="237" t="str">
        <x:v>CONFIGURAÇÃO DE PERÍODOS</x:v>
      </x:c>
      <x:c r="I1" s="237"/>
    </x:row>
    <x:row r="2" ht="30" customHeight="1">
      <x:c r="A2" s="202" t="str">
        <x:v>Cadastre a nova unidade uma única vez. Preencha Nº Loja, Nome, Regional e marque ATIVA = SIM. As áreas preparadas nas demais abas passam a reconhecer a loja automaticamente.</x:v>
      </x:c>
      <x:c r="B2" s="202"/>
      <x:c r="C2" s="202"/>
      <x:c r="D2" s="202"/>
      <x:c r="E2" s="202"/>
      <x:c r="F2" s="202"/>
      <x:c r="H2" s="240" t="str">
        <x:v>PERÍODO</x:v>
      </x:c>
      <x:c r="I2" s="240" t="str">
        <x:v>META ETIQUETAS</x:v>
      </x:c>
      <x:c r="K2" s="340" t="str">
        <x:v>MÊS</x:v>
      </x:c>
      <x:c r="L2" s="340" t="str">
        <x:v>Nº</x:v>
      </x:c>
    </x:row>
    <x:row r="3">
      <x:c r="H3" s="250" t="n">
        <x:v>45597</x:v>
      </x:c>
      <x:c r="I3" s="251" t="n">
        <x:v>4800</x:v>
      </x:c>
      <x:c r="K3" s="342" t="str">
        <x:v>janeiro</x:v>
      </x:c>
      <x:c r="L3" s="342" t="n">
        <x:v>1</x:v>
      </x:c>
    </x:row>
    <x:row r="4" ht="24" customHeight="1">
      <x:c r="A4" s="210" t="str">
        <x:v>SLOT</x:v>
      </x:c>
      <x:c r="B4" s="210" t="str">
        <x:v>Nº LOJA</x:v>
      </x:c>
      <x:c r="C4" s="210" t="str">
        <x:v>NOME DA LOJA</x:v>
      </x:c>
      <x:c r="D4" s="210" t="str">
        <x:v>REGIONAL</x:v>
      </x:c>
      <x:c r="E4" s="210" t="str">
        <x:v>ATIVA?</x:v>
      </x:c>
      <x:c r="F4" s="210" t="str">
        <x:v>EXIBIÇÃO PADRÃO</x:v>
      </x:c>
      <x:c r="H4" s="250" t="n">
        <x:v>45627</x:v>
      </x:c>
      <x:c r="I4" s="251" t="n">
        <x:v>4800</x:v>
      </x:c>
      <x:c r="K4" s="342" t="str">
        <x:v>fevereiro</x:v>
      </x:c>
      <x:c r="L4" s="342" t="n">
        <x:v>2</x:v>
      </x:c>
    </x:row>
    <x:row r="5">
      <x:c r="A5" s="224" t="n">
        <x:v>1</x:v>
      </x:c>
      <x:c r="B5" s="224" t="n">
        <x:v>1</x:v>
      </x:c>
      <x:c r="C5" s="218" t="str">
        <x:v>JUNDIAÍ BARAO DE JUNDIAI</x:v>
      </x:c>
      <x:c r="D5" s="224" t="str">
        <x:v>GUARDIÕES DA CHAMA</x:v>
      </x:c>
      <x:c r="E5" s="228" t="str">
        <x:v>SIM</x:v>
      </x:c>
      <x:c r="F5" s="232" t="str">
        <x:f>IF(OR(B5="",C5="",E5&lt;&gt;"SIM"),"","ML"&amp;TEXT(B5,"00")&amp;" - "&amp;C5)</x:f>
        <x:v>ML01 - JUNDIAÍ BARAO DE JUNDIAI</x:v>
      </x:c>
      <x:c r="H5" s="250" t="n">
        <x:v>45658</x:v>
      </x:c>
      <x:c r="I5" s="251" t="n">
        <x:v>4800</x:v>
      </x:c>
      <x:c r="K5" s="342" t="str">
        <x:v>março</x:v>
      </x:c>
      <x:c r="L5" s="342" t="n">
        <x:v>3</x:v>
      </x:c>
    </x:row>
    <x:row r="6">
      <x:c r="A6" s="224" t="n">
        <x:v>2</x:v>
      </x:c>
      <x:c r="B6" s="224" t="n">
        <x:v>2</x:v>
      </x:c>
      <x:c r="C6" s="218" t="str">
        <x:v>VÁRZEA PAULISTA</x:v>
      </x:c>
      <x:c r="D6" s="224" t="str">
        <x:v>GUARDIÕES DA CHAMA</x:v>
      </x:c>
      <x:c r="E6" s="228" t="str">
        <x:v>SIM</x:v>
      </x:c>
      <x:c r="F6" s="232" t="str">
        <x:f>IF(OR(B6="",C6="",E6&lt;&gt;"SIM"),"","ML"&amp;TEXT(B6,"00")&amp;" - "&amp;C6)</x:f>
        <x:v>ML02 - VÁRZEA PAULISTA</x:v>
      </x:c>
      <x:c r="H6" s="250" t="n">
        <x:v>45689</x:v>
      </x:c>
      <x:c r="I6" s="251" t="n">
        <x:v>4800</x:v>
      </x:c>
      <x:c r="K6" s="342" t="str">
        <x:v>abril</x:v>
      </x:c>
      <x:c r="L6" s="342" t="n">
        <x:v>4</x:v>
      </x:c>
    </x:row>
    <x:row r="7">
      <x:c r="A7" s="224" t="n">
        <x:v>3</x:v>
      </x:c>
      <x:c r="B7" s="224" t="n">
        <x:v>3</x:v>
      </x:c>
      <x:c r="C7" s="218" t="str">
        <x:v>JUNDIAÍ PRACA RUI BARBOSA</x:v>
      </x:c>
      <x:c r="D7" s="224" t="str">
        <x:v>GUARDIÕES DA CHAMA</x:v>
      </x:c>
      <x:c r="E7" s="228" t="str">
        <x:v>SIM</x:v>
      </x:c>
      <x:c r="F7" s="232" t="str">
        <x:f>IF(OR(B7="",C7="",E7&lt;&gt;"SIM"),"","ML"&amp;TEXT(B7,"00")&amp;" - "&amp;C7)</x:f>
        <x:v>ML03 - JUNDIAÍ PRACA RUI BARBOSA</x:v>
      </x:c>
      <x:c r="H7" s="250" t="n">
        <x:v>45717</x:v>
      </x:c>
      <x:c r="I7" s="251" t="n">
        <x:v>6000</x:v>
      </x:c>
      <x:c r="K7" s="342" t="str">
        <x:v>maio</x:v>
      </x:c>
      <x:c r="L7" s="342" t="n">
        <x:v>5</x:v>
      </x:c>
    </x:row>
    <x:row r="8">
      <x:c r="A8" s="224" t="n">
        <x:v>4</x:v>
      </x:c>
      <x:c r="B8" s="224" t="n">
        <x:v>5</x:v>
      </x:c>
      <x:c r="C8" s="218" t="str">
        <x:v>JUNDIAÍ MAXI SHOPPING</x:v>
      </x:c>
      <x:c r="D8" s="224" t="str">
        <x:v>GUARDIÕES DA CHAMA</x:v>
      </x:c>
      <x:c r="E8" s="228" t="str">
        <x:v>SIM</x:v>
      </x:c>
      <x:c r="F8" s="232" t="str">
        <x:f>IF(OR(B8="",C8="",E8&lt;&gt;"SIM"),"","ML"&amp;TEXT(B8,"00")&amp;" - "&amp;C8)</x:f>
        <x:v>ML05 - JUNDIAÍ MAXI SHOPPING</x:v>
      </x:c>
      <x:c r="H8" s="250" t="n">
        <x:v>45748</x:v>
      </x:c>
      <x:c r="I8" s="251" t="n">
        <x:v>6000</x:v>
      </x:c>
      <x:c r="K8" s="342" t="str">
        <x:v>junho</x:v>
      </x:c>
      <x:c r="L8" s="342" t="n">
        <x:v>6</x:v>
      </x:c>
    </x:row>
    <x:row r="9">
      <x:c r="A9" s="224" t="n">
        <x:v>5</x:v>
      </x:c>
      <x:c r="B9" s="224" t="n">
        <x:v>6</x:v>
      </x:c>
      <x:c r="C9" s="218" t="str">
        <x:v>CAMPINAS BARÃO DE ITAPURA</x:v>
      </x:c>
      <x:c r="D9" s="224" t="str">
        <x:v>GUARDIÕES DA LUZ</x:v>
      </x:c>
      <x:c r="E9" s="228" t="str">
        <x:v>SIM</x:v>
      </x:c>
      <x:c r="F9" s="232" t="str">
        <x:f>IF(OR(B9="",C9="",E9&lt;&gt;"SIM"),"","ML"&amp;TEXT(B9,"00")&amp;" - "&amp;C9)</x:f>
        <x:v>ML06 - CAMPINAS BARÃO DE ITAPURA</x:v>
      </x:c>
      <x:c r="H9" s="250" t="n">
        <x:v>45778</x:v>
      </x:c>
      <x:c r="I9" s="251" t="n">
        <x:v>6000</x:v>
      </x:c>
      <x:c r="K9" s="342" t="str">
        <x:v>julho</x:v>
      </x:c>
      <x:c r="L9" s="342" t="n">
        <x:v>7</x:v>
      </x:c>
    </x:row>
    <x:row r="10">
      <x:c r="A10" s="224" t="n">
        <x:v>6</x:v>
      </x:c>
      <x:c r="B10" s="224" t="n">
        <x:v>7</x:v>
      </x:c>
      <x:c r="C10" s="218" t="str">
        <x:v>ITU CENTRO</x:v>
      </x:c>
      <x:c r="D10" s="224" t="str">
        <x:v>RAÍZES DO LAR</x:v>
      </x:c>
      <x:c r="E10" s="228" t="str">
        <x:v>SIM</x:v>
      </x:c>
      <x:c r="F10" s="232" t="str">
        <x:f>IF(OR(B10="",C10="",E10&lt;&gt;"SIM"),"","ML"&amp;TEXT(B10,"00")&amp;" - "&amp;C10)</x:f>
        <x:v>ML07 - ITU CENTRO</x:v>
      </x:c>
      <x:c r="H10" s="250" t="n">
        <x:v>45809</x:v>
      </x:c>
      <x:c r="I10" s="251" t="n">
        <x:v>6000</x:v>
      </x:c>
      <x:c r="K10" s="342" t="str">
        <x:v>agosto</x:v>
      </x:c>
      <x:c r="L10" s="342" t="n">
        <x:v>8</x:v>
      </x:c>
    </x:row>
    <x:row r="11">
      <x:c r="A11" s="224" t="n">
        <x:v>7</x:v>
      </x:c>
      <x:c r="B11" s="224" t="n">
        <x:v>8</x:v>
      </x:c>
      <x:c r="C11" s="218" t="str">
        <x:v>CAMPINAS MORAES SALES</x:v>
      </x:c>
      <x:c r="D11" s="224" t="str">
        <x:v>GUARDIÕES DA LUZ</x:v>
      </x:c>
      <x:c r="E11" s="228" t="str">
        <x:v>SIM</x:v>
      </x:c>
      <x:c r="F11" s="232" t="str">
        <x:f>IF(OR(B11="",C11="",E11&lt;&gt;"SIM"),"","ML"&amp;TEXT(B11,"00")&amp;" - "&amp;C11)</x:f>
        <x:v>ML08 - CAMPINAS MORAES SALES</x:v>
      </x:c>
      <x:c r="H11" s="250" t="n">
        <x:v>45839</x:v>
      </x:c>
      <x:c r="I11" s="251" t="n">
        <x:v>6000</x:v>
      </x:c>
      <x:c r="K11" s="342" t="str">
        <x:v>setembro</x:v>
      </x:c>
      <x:c r="L11" s="342" t="n">
        <x:v>9</x:v>
      </x:c>
    </x:row>
    <x:row r="12">
      <x:c r="A12" s="224" t="n">
        <x:v>8</x:v>
      </x:c>
      <x:c r="B12" s="224" t="n">
        <x:v>9</x:v>
      </x:c>
      <x:c r="C12" s="218" t="str">
        <x:v>INDAIATUBA</x:v>
      </x:c>
      <x:c r="D12" s="224" t="str">
        <x:v>RAÍZES DO LAR</x:v>
      </x:c>
      <x:c r="E12" s="228" t="str">
        <x:v>SIM</x:v>
      </x:c>
      <x:c r="F12" s="232" t="str">
        <x:f>IF(OR(B12="",C12="",E12&lt;&gt;"SIM"),"","ML"&amp;TEXT(B12,"00")&amp;" - "&amp;C12)</x:f>
        <x:v>ML09 - INDAIATUBA</x:v>
      </x:c>
      <x:c r="H12" s="250" t="n">
        <x:v>45870</x:v>
      </x:c>
      <x:c r="I12" s="251" t="n">
        <x:v>6000</x:v>
      </x:c>
      <x:c r="K12" s="342" t="str">
        <x:v>outubro</x:v>
      </x:c>
      <x:c r="L12" s="342" t="n">
        <x:v>10</x:v>
      </x:c>
    </x:row>
    <x:row r="13">
      <x:c r="A13" s="224" t="n">
        <x:v>9</x:v>
      </x:c>
      <x:c r="B13" s="224" t="n">
        <x:v>10</x:v>
      </x:c>
      <x:c r="C13" s="218" t="str">
        <x:v>CAPIVARI</x:v>
      </x:c>
      <x:c r="D13" s="224" t="str">
        <x:v>GUARDIÕES DA LUZ</x:v>
      </x:c>
      <x:c r="E13" s="228" t="str">
        <x:v>SIM</x:v>
      </x:c>
      <x:c r="F13" s="232" t="str">
        <x:f>IF(OR(B13="",C13="",E13&lt;&gt;"SIM"),"","ML"&amp;TEXT(B13,"00")&amp;" - "&amp;C13)</x:f>
        <x:v>ML10 - CAPIVARI</x:v>
      </x:c>
      <x:c r="H13" s="250" t="n">
        <x:v>45901</x:v>
      </x:c>
      <x:c r="I13" s="251" t="n">
        <x:v>6000</x:v>
      </x:c>
      <x:c r="K13" s="342" t="str">
        <x:v>novembro</x:v>
      </x:c>
      <x:c r="L13" s="342" t="n">
        <x:v>11</x:v>
      </x:c>
    </x:row>
    <x:row r="14">
      <x:c r="A14" s="224" t="n">
        <x:v>10</x:v>
      </x:c>
      <x:c r="B14" s="224" t="n">
        <x:v>11</x:v>
      </x:c>
      <x:c r="C14" s="218" t="str">
        <x:v>SOROCABA SIMUS</x:v>
      </x:c>
      <x:c r="D14" s="224" t="str">
        <x:v>RAÍZES DO LAR</x:v>
      </x:c>
      <x:c r="E14" s="228" t="str">
        <x:v>SIM</x:v>
      </x:c>
      <x:c r="F14" s="232" t="str">
        <x:f>IF(OR(B14="",C14="",E14&lt;&gt;"SIM"),"","ML"&amp;TEXT(B14,"00")&amp;" - "&amp;C14)</x:f>
        <x:v>ML11 - SOROCABA SIMUS</x:v>
      </x:c>
      <x:c r="H14" s="250" t="n">
        <x:v>45931</x:v>
      </x:c>
      <x:c r="I14" s="251" t="n">
        <x:v>6000</x:v>
      </x:c>
      <x:c r="K14" s="342" t="str">
        <x:v>dezembro</x:v>
      </x:c>
      <x:c r="L14" s="342" t="n">
        <x:v>12</x:v>
      </x:c>
    </x:row>
    <x:row r="15">
      <x:c r="A15" s="224" t="n">
        <x:v>11</x:v>
      </x:c>
      <x:c r="B15" s="224" t="n">
        <x:v>12</x:v>
      </x:c>
      <x:c r="C15" s="218" t="str">
        <x:v>AMERICANA</x:v>
      </x:c>
      <x:c r="D15" s="224" t="str">
        <x:v>GUARDIÕES DA LUZ</x:v>
      </x:c>
      <x:c r="E15" s="228" t="str">
        <x:v>SIM</x:v>
      </x:c>
      <x:c r="F15" s="232" t="str">
        <x:f>IF(OR(B15="",C15="",E15&lt;&gt;"SIM"),"","ML"&amp;TEXT(B15,"00")&amp;" - "&amp;C15)</x:f>
        <x:v>ML12 - AMERICANA</x:v>
      </x:c>
      <x:c r="H15" s="250" t="n">
        <x:v>45962</x:v>
      </x:c>
      <x:c r="I15" s="251" t="n">
        <x:v>6000</x:v>
      </x:c>
    </x:row>
    <x:row r="16">
      <x:c r="A16" s="224" t="n">
        <x:v>12</x:v>
      </x:c>
      <x:c r="B16" s="224" t="n">
        <x:v>13</x:v>
      </x:c>
      <x:c r="C16" s="218" t="str">
        <x:v>SANTA BÁRBARA</x:v>
      </x:c>
      <x:c r="D16" s="224" t="str">
        <x:v>GUARDIÕES DA LUZ</x:v>
      </x:c>
      <x:c r="E16" s="228" t="str">
        <x:v>SIM</x:v>
      </x:c>
      <x:c r="F16" s="232" t="str">
        <x:f>IF(OR(B16="",C16="",E16&lt;&gt;"SIM"),"","ML"&amp;TEXT(B16,"00")&amp;" - "&amp;C16)</x:f>
        <x:v>ML13 - SANTA BÁRBARA</x:v>
      </x:c>
      <x:c r="H16" s="250" t="n">
        <x:v>45992</x:v>
      </x:c>
      <x:c r="I16" s="251" t="n">
        <x:v>6000</x:v>
      </x:c>
    </x:row>
    <x:row r="17">
      <x:c r="A17" s="224" t="n">
        <x:v>13</x:v>
      </x:c>
      <x:c r="B17" s="224" t="n">
        <x:v>14</x:v>
      </x:c>
      <x:c r="C17" s="218" t="str">
        <x:v>PIRACICABA</x:v>
      </x:c>
      <x:c r="D17" s="224" t="str">
        <x:v>RAIO BRAVO</x:v>
      </x:c>
      <x:c r="E17" s="228" t="str">
        <x:v>SIM</x:v>
      </x:c>
      <x:c r="F17" s="232" t="str">
        <x:f>IF(OR(B17="",C17="",E17&lt;&gt;"SIM"),"","ML"&amp;TEXT(B17,"00")&amp;" - "&amp;C17)</x:f>
        <x:v>ML14 - PIRACICABA</x:v>
      </x:c>
      <x:c r="H17" s="250" t="n">
        <x:v>46023</x:v>
      </x:c>
      <x:c r="I17" s="251" t="n">
        <x:v>6000</x:v>
      </x:c>
    </x:row>
    <x:row r="18">
      <x:c r="A18" s="224" t="n">
        <x:v>14</x:v>
      </x:c>
      <x:c r="B18" s="224" t="n">
        <x:v>15</x:v>
      </x:c>
      <x:c r="C18" s="218" t="str">
        <x:v>LIMEIRA</x:v>
      </x:c>
      <x:c r="D18" s="224" t="str">
        <x:v>RAIO BRAVO</x:v>
      </x:c>
      <x:c r="E18" s="228" t="str">
        <x:v>SIM</x:v>
      </x:c>
      <x:c r="F18" s="232" t="str">
        <x:f>IF(OR(B18="",C18="",E18&lt;&gt;"SIM"),"","ML"&amp;TEXT(B18,"00")&amp;" - "&amp;C18)</x:f>
        <x:v>ML15 - LIMEIRA</x:v>
      </x:c>
      <x:c r="H18" s="250" t="n">
        <x:v>46054</x:v>
      </x:c>
      <x:c r="I18" s="251" t="n">
        <x:v>6000</x:v>
      </x:c>
    </x:row>
    <x:row r="19">
      <x:c r="A19" s="224" t="n">
        <x:v>15</x:v>
      </x:c>
      <x:c r="B19" s="224" t="n">
        <x:v>16</x:v>
      </x:c>
      <x:c r="C19" s="218" t="str">
        <x:v>COSMÓPOLIS</x:v>
      </x:c>
      <x:c r="D19" s="224" t="str">
        <x:v>GUARDIÕES DA LUZ</x:v>
      </x:c>
      <x:c r="E19" s="228" t="str">
        <x:v>SIM</x:v>
      </x:c>
      <x:c r="F19" s="232" t="str">
        <x:f>IF(OR(B19="",C19="",E19&lt;&gt;"SIM"),"","ML"&amp;TEXT(B19,"00")&amp;" - "&amp;C19)</x:f>
        <x:v>ML16 - COSMÓPOLIS</x:v>
      </x:c>
      <x:c r="H19" s="250" t="n">
        <x:v>46082</x:v>
      </x:c>
      <x:c r="I19" s="251" t="n">
        <x:v>6000</x:v>
      </x:c>
    </x:row>
    <x:row r="20">
      <x:c r="A20" s="224" t="n">
        <x:v>16</x:v>
      </x:c>
      <x:c r="B20" s="224" t="n">
        <x:v>17</x:v>
      </x:c>
      <x:c r="C20" s="218" t="str">
        <x:v>SOROCABA ESPLANADA</x:v>
      </x:c>
      <x:c r="D20" s="224" t="str">
        <x:v>RAÍZES DO LAR</x:v>
      </x:c>
      <x:c r="E20" s="228" t="str">
        <x:v>SIM</x:v>
      </x:c>
      <x:c r="F20" s="232" t="str">
        <x:f>IF(OR(B20="",C20="",E20&lt;&gt;"SIM"),"","ML"&amp;TEXT(B20,"00")&amp;" - "&amp;C20)</x:f>
        <x:v>ML17 - SOROCABA ESPLANADA</x:v>
      </x:c>
      <x:c r="H20" s="250" t="n">
        <x:v>46113</x:v>
      </x:c>
      <x:c r="I20" s="251" t="n">
        <x:v>6000</x:v>
      </x:c>
    </x:row>
    <x:row r="21">
      <x:c r="A21" s="224" t="n">
        <x:v>17</x:v>
      </x:c>
      <x:c r="B21" s="224" t="n">
        <x:v>18</x:v>
      </x:c>
      <x:c r="C21" s="218" t="str">
        <x:v>ARARAQUARA AV 36</x:v>
      </x:c>
      <x:c r="D21" s="224" t="str">
        <x:v>RAIO BRAVO</x:v>
      </x:c>
      <x:c r="E21" s="228" t="str">
        <x:v>SIM</x:v>
      </x:c>
      <x:c r="F21" s="232" t="str">
        <x:f>IF(OR(B21="",C21="",E21&lt;&gt;"SIM"),"","ML"&amp;TEXT(B21,"00")&amp;" - "&amp;C21)</x:f>
        <x:v>ML18 - ARARAQUARA AV 36</x:v>
      </x:c>
      <x:c r="H21" s="250" t="n">
        <x:v>46143</x:v>
      </x:c>
      <x:c r="I21" s="251" t="n">
        <x:v>6000</x:v>
      </x:c>
    </x:row>
    <x:row r="22">
      <x:c r="A22" s="224" t="n">
        <x:v>18</x:v>
      </x:c>
      <x:c r="B22" s="224" t="n">
        <x:v>19</x:v>
      </x:c>
      <x:c r="C22" s="218" t="str">
        <x:v>SÃO CARLOS</x:v>
      </x:c>
      <x:c r="D22" s="224" t="str">
        <x:v>RAIO BRAVO</x:v>
      </x:c>
      <x:c r="E22" s="228" t="str">
        <x:v>SIM</x:v>
      </x:c>
      <x:c r="F22" s="232" t="str">
        <x:f>IF(OR(B22="",C22="",E22&lt;&gt;"SIM"),"","ML"&amp;TEXT(B22,"00")&amp;" - "&amp;C22)</x:f>
        <x:v>ML19 - SÃO CARLOS</x:v>
      </x:c>
      <x:c r="H22" s="250" t="n">
        <x:v>46174</x:v>
      </x:c>
      <x:c r="I22" s="251" t="n">
        <x:v>6000</x:v>
      </x:c>
    </x:row>
    <x:row r="23">
      <x:c r="A23" s="224" t="n">
        <x:v>19</x:v>
      </x:c>
      <x:c r="B23" s="224" t="n">
        <x:v>20</x:v>
      </x:c>
      <x:c r="C23" s="218" t="str">
        <x:v>VALINHOS</x:v>
      </x:c>
      <x:c r="D23" s="224" t="str">
        <x:v>GUARDIÕES DA CHAMA</x:v>
      </x:c>
      <x:c r="E23" s="228" t="str">
        <x:v>SIM</x:v>
      </x:c>
      <x:c r="F23" s="232" t="str">
        <x:f>IF(OR(B23="",C23="",E23&lt;&gt;"SIM"),"","ML"&amp;TEXT(B23,"00")&amp;" - "&amp;C23)</x:f>
        <x:v>ML20 - VALINHOS</x:v>
      </x:c>
      <x:c r="H23" s="250" t="n">
        <x:v>46204</x:v>
      </x:c>
      <x:c r="I23" s="251" t="n">
        <x:v>6000</x:v>
      </x:c>
    </x:row>
    <x:row r="24">
      <x:c r="A24" s="224" t="n">
        <x:v>20</x:v>
      </x:c>
      <x:c r="B24" s="224" t="n">
        <x:v>21</x:v>
      </x:c>
      <x:c r="C24" s="218" t="str">
        <x:v>SERTÃOZINHO</x:v>
      </x:c>
      <x:c r="D24" s="224" t="str">
        <x:v>VENTO DOURADO</x:v>
      </x:c>
      <x:c r="E24" s="228" t="str">
        <x:v>SIM</x:v>
      </x:c>
      <x:c r="F24" s="232" t="str">
        <x:f>IF(OR(B24="",C24="",E24&lt;&gt;"SIM"),"","ML"&amp;TEXT(B24,"00")&amp;" - "&amp;C24)</x:f>
        <x:v>ML21 - SERTÃOZINHO</x:v>
      </x:c>
      <x:c r="H24" s="250" t="n">
        <x:v>46235</x:v>
      </x:c>
      <x:c r="I24" s="251" t="n">
        <x:v>6000</x:v>
      </x:c>
    </x:row>
    <x:row r="25">
      <x:c r="A25" s="224" t="n">
        <x:v>21</x:v>
      </x:c>
      <x:c r="B25" s="224" t="n">
        <x:v>22</x:v>
      </x:c>
      <x:c r="C25" s="218" t="str">
        <x:v>RIBEIRÃO AMIN CALIL</x:v>
      </x:c>
      <x:c r="D25" s="224" t="str">
        <x:v>VENTO DOURADO</x:v>
      </x:c>
      <x:c r="E25" s="228" t="str">
        <x:v>SIM</x:v>
      </x:c>
      <x:c r="F25" s="232" t="str">
        <x:f>IF(OR(B25="",C25="",E25&lt;&gt;"SIM"),"","ML"&amp;TEXT(B25,"00")&amp;" - "&amp;C25)</x:f>
        <x:v>ML22 - RIBEIRÃO AMIN CALIL</x:v>
      </x:c>
      <x:c r="H25" s="250" t="n">
        <x:v>46266</x:v>
      </x:c>
      <x:c r="I25" s="251" t="n">
        <x:v>6000</x:v>
      </x:c>
    </x:row>
    <x:row r="26">
      <x:c r="A26" s="224" t="n">
        <x:v>22</x:v>
      </x:c>
      <x:c r="B26" s="224" t="n">
        <x:v>23</x:v>
      </x:c>
      <x:c r="C26" s="218" t="str">
        <x:v>SOROCABA IPANEMA</x:v>
      </x:c>
      <x:c r="D26" s="224" t="str">
        <x:v>RAÍZES DO LAR</x:v>
      </x:c>
      <x:c r="E26" s="228" t="str">
        <x:v>SIM</x:v>
      </x:c>
      <x:c r="F26" s="232" t="str">
        <x:f>IF(OR(B26="",C26="",E26&lt;&gt;"SIM"),"","ML"&amp;TEXT(B26,"00")&amp;" - "&amp;C26)</x:f>
        <x:v>ML23 - SOROCABA IPANEMA</x:v>
      </x:c>
      <x:c r="H26" s="250" t="n">
        <x:v>46296</x:v>
      </x:c>
      <x:c r="I26" s="251" t="n">
        <x:v>6000</x:v>
      </x:c>
    </x:row>
    <x:row r="27">
      <x:c r="A27" s="224" t="n">
        <x:v>23</x:v>
      </x:c>
      <x:c r="B27" s="224" t="n">
        <x:v>24</x:v>
      </x:c>
      <x:c r="C27" s="218" t="str">
        <x:v>RIBEIRÃO INDEPENDÊNCIA</x:v>
      </x:c>
      <x:c r="D27" s="224" t="str">
        <x:v>VENTO DOURADO</x:v>
      </x:c>
      <x:c r="E27" s="228" t="str">
        <x:v>SIM</x:v>
      </x:c>
      <x:c r="F27" s="232" t="str">
        <x:f>IF(OR(B27="",C27="",E27&lt;&gt;"SIM"),"","ML"&amp;TEXT(B27,"00")&amp;" - "&amp;C27)</x:f>
        <x:v>ML24 - RIBEIRÃO INDEPENDÊNCIA</x:v>
      </x:c>
      <x:c r="H27" s="250" t="n">
        <x:v>46327</x:v>
      </x:c>
      <x:c r="I27" s="251" t="n">
        <x:v>6000</x:v>
      </x:c>
    </x:row>
    <x:row r="28">
      <x:c r="A28" s="224" t="n">
        <x:v>24</x:v>
      </x:c>
      <x:c r="B28" s="224" t="n">
        <x:v>25</x:v>
      </x:c>
      <x:c r="C28" s="218" t="str">
        <x:v>SUMARÉ</x:v>
      </x:c>
      <x:c r="D28" s="224" t="str">
        <x:v>GUARDIÕES DA LUZ</x:v>
      </x:c>
      <x:c r="E28" s="228" t="str">
        <x:v>SIM</x:v>
      </x:c>
      <x:c r="F28" s="232" t="str">
        <x:f>IF(OR(B28="",C28="",E28&lt;&gt;"SIM"),"","ML"&amp;TEXT(B28,"00")&amp;" - "&amp;C28)</x:f>
        <x:v>ML25 - SUMARÉ</x:v>
      </x:c>
      <x:c r="H28" s="250" t="n">
        <x:v>46357</x:v>
      </x:c>
      <x:c r="I28" s="251" t="n">
        <x:v>6000</x:v>
      </x:c>
    </x:row>
    <x:row r="29">
      <x:c r="A29" s="224" t="n">
        <x:v>25</x:v>
      </x:c>
      <x:c r="B29" s="224" t="n">
        <x:v>26</x:v>
      </x:c>
      <x:c r="C29" s="218" t="str">
        <x:v>ITAPETININGA</x:v>
      </x:c>
      <x:c r="D29" s="224" t="str">
        <x:v>RAÍZES DO LAR</x:v>
      </x:c>
      <x:c r="E29" s="228" t="str">
        <x:v>SIM</x:v>
      </x:c>
      <x:c r="F29" s="232" t="str">
        <x:f>IF(OR(B29="",C29="",E29&lt;&gt;"SIM"),"","ML"&amp;TEXT(B29,"00")&amp;" - "&amp;C29)</x:f>
        <x:v>ML26 - ITAPETININGA</x:v>
      </x:c>
      <x:c r="H29" s="250" t="n">
        <x:v>46388</x:v>
      </x:c>
      <x:c r="I29" s="251" t="n">
        <x:v>6000</x:v>
      </x:c>
    </x:row>
    <x:row r="30">
      <x:c r="A30" s="224" t="n">
        <x:v>26</x:v>
      </x:c>
      <x:c r="B30" s="224" t="n">
        <x:v>27</x:v>
      </x:c>
      <x:c r="C30" s="218" t="str">
        <x:v>CAMPINAS SHOPPING</x:v>
      </x:c>
      <x:c r="D30" s="224" t="str">
        <x:v>RAÍZES DO LAR</x:v>
      </x:c>
      <x:c r="E30" s="228" t="str">
        <x:v>SIM</x:v>
      </x:c>
      <x:c r="F30" s="232" t="str">
        <x:f>IF(OR(B30="",C30="",E30&lt;&gt;"SIM"),"","ML"&amp;TEXT(B30,"00")&amp;" - "&amp;C30)</x:f>
        <x:v>ML27 - CAMPINAS SHOPPING</x:v>
      </x:c>
      <x:c r="H30" s="250" t="n">
        <x:v>46419</x:v>
      </x:c>
      <x:c r="I30" s="251" t="n">
        <x:v>6000</x:v>
      </x:c>
    </x:row>
    <x:row r="31">
      <x:c r="A31" s="224" t="n">
        <x:v>27</x:v>
      </x:c>
      <x:c r="B31" s="224" t="n">
        <x:v>28</x:v>
      </x:c>
      <x:c r="C31" s="218" t="str">
        <x:v>ITU PLAZA SHOPPING</x:v>
      </x:c>
      <x:c r="D31" s="224" t="str">
        <x:v>RAÍZES DO LAR</x:v>
      </x:c>
      <x:c r="E31" s="228" t="str">
        <x:v>SIM</x:v>
      </x:c>
      <x:c r="F31" s="232" t="str">
        <x:f>IF(OR(B31="",C31="",E31&lt;&gt;"SIM"),"","ML"&amp;TEXT(B31,"00")&amp;" - "&amp;C31)</x:f>
        <x:v>ML28 - ITU PLAZA SHOPPING</x:v>
      </x:c>
      <x:c r="H31" s="250" t="n">
        <x:v>46447</x:v>
      </x:c>
      <x:c r="I31" s="251" t="n">
        <x:v>6000</x:v>
      </x:c>
    </x:row>
    <x:row r="32">
      <x:c r="A32" s="224" t="n">
        <x:v>28</x:v>
      </x:c>
      <x:c r="B32" s="224" t="n">
        <x:v>29</x:v>
      </x:c>
      <x:c r="C32" s="218" t="str">
        <x:v>MOGI GUAÇU</x:v>
      </x:c>
      <x:c r="D32" s="224" t="str">
        <x:v>RAIO BRAVO</x:v>
      </x:c>
      <x:c r="E32" s="228" t="str">
        <x:v>SIM</x:v>
      </x:c>
      <x:c r="F32" s="232" t="str">
        <x:f>IF(OR(B32="",C32="",E32&lt;&gt;"SIM"),"","ML"&amp;TEXT(B32,"00")&amp;" - "&amp;C32)</x:f>
        <x:v>ML29 - MOGI GUAÇU</x:v>
      </x:c>
      <x:c r="H32" s="250" t="n">
        <x:v>46478</x:v>
      </x:c>
      <x:c r="I32" s="251" t="n">
        <x:v>6000</x:v>
      </x:c>
    </x:row>
    <x:row r="33">
      <x:c r="A33" s="224" t="n">
        <x:v>29</x:v>
      </x:c>
      <x:c r="B33" s="224" t="n">
        <x:v>30</x:v>
      </x:c>
      <x:c r="C33" s="218" t="str">
        <x:v>ARARAQUARA CENTRO</x:v>
      </x:c>
      <x:c r="D33" s="224" t="str">
        <x:v>RAIO BRAVO</x:v>
      </x:c>
      <x:c r="E33" s="228" t="str">
        <x:v>SIM</x:v>
      </x:c>
      <x:c r="F33" s="232" t="str">
        <x:f>IF(OR(B33="",C33="",E33&lt;&gt;"SIM"),"","ML"&amp;TEXT(B33,"00")&amp;" - "&amp;C33)</x:f>
        <x:v>ML30 - ARARAQUARA CENTRO</x:v>
      </x:c>
      <x:c r="H33" s="250" t="n">
        <x:v>46508</x:v>
      </x:c>
      <x:c r="I33" s="251" t="n">
        <x:v>6000</x:v>
      </x:c>
    </x:row>
    <x:row r="34">
      <x:c r="A34" s="224" t="n">
        <x:v>30</x:v>
      </x:c>
      <x:c r="B34" s="224" t="n">
        <x:v>31</x:v>
      </x:c>
      <x:c r="C34" s="218" t="str">
        <x:v>BAURU DUQUE</x:v>
      </x:c>
      <x:c r="D34" s="224" t="str">
        <x:v>OCEANO MARA</x:v>
      </x:c>
      <x:c r="E34" s="228" t="str">
        <x:v>SIM</x:v>
      </x:c>
      <x:c r="F34" s="232" t="str">
        <x:f>IF(OR(B34="",C34="",E34&lt;&gt;"SIM"),"","ML"&amp;TEXT(B34,"00")&amp;" - "&amp;C34)</x:f>
        <x:v>ML31 - BAURU DUQUE</x:v>
      </x:c>
      <x:c r="H34" s="250" t="n">
        <x:v>46539</x:v>
      </x:c>
      <x:c r="I34" s="251" t="n">
        <x:v>6000</x:v>
      </x:c>
    </x:row>
    <x:row r="35">
      <x:c r="A35" s="224" t="n">
        <x:v>31</x:v>
      </x:c>
      <x:c r="B35" s="224" t="n">
        <x:v>32</x:v>
      </x:c>
      <x:c r="C35" s="218" t="str">
        <x:v>BAURU CASTELO</x:v>
      </x:c>
      <x:c r="D35" s="224" t="str">
        <x:v>OCEANO MARA</x:v>
      </x:c>
      <x:c r="E35" s="228" t="str">
        <x:v>SIM</x:v>
      </x:c>
      <x:c r="F35" s="232" t="str">
        <x:f>IF(OR(B35="",C35="",E35&lt;&gt;"SIM"),"","ML"&amp;TEXT(B35,"00")&amp;" - "&amp;C35)</x:f>
        <x:v>ML32 - BAURU CASTELO</x:v>
      </x:c>
      <x:c r="H35" s="250" t="n">
        <x:v>46569</x:v>
      </x:c>
      <x:c r="I35" s="251" t="n">
        <x:v>6000</x:v>
      </x:c>
    </x:row>
    <x:row r="36">
      <x:c r="A36" s="224" t="n">
        <x:v>32</x:v>
      </x:c>
      <x:c r="B36" s="224" t="n">
        <x:v>33</x:v>
      </x:c>
      <x:c r="C36" s="218" t="str">
        <x:v>CAMPINAS AMOREIRAS</x:v>
      </x:c>
      <x:c r="D36" s="224" t="str">
        <x:v>RAÍZES DO LAR</x:v>
      </x:c>
      <x:c r="E36" s="228" t="str">
        <x:v>SIM</x:v>
      </x:c>
      <x:c r="F36" s="232" t="str">
        <x:f>IF(OR(B36="",C36="",E36&lt;&gt;"SIM"),"","ML"&amp;TEXT(B36,"00")&amp;" - "&amp;C36)</x:f>
        <x:v>ML33 - CAMPINAS AMOREIRAS</x:v>
      </x:c>
      <x:c r="H36" s="250" t="n">
        <x:v>46600</x:v>
      </x:c>
      <x:c r="I36" s="251" t="n">
        <x:v>6000</x:v>
      </x:c>
    </x:row>
    <x:row r="37">
      <x:c r="A37" s="224" t="n">
        <x:v>33</x:v>
      </x:c>
      <x:c r="B37" s="224" t="n">
        <x:v>34</x:v>
      </x:c>
      <x:c r="C37" s="218" t="str">
        <x:v>JUNDIAÍ MULTI MODAS</x:v>
      </x:c>
      <x:c r="D37" s="224" t="str">
        <x:v>GUARDIÕES DA CHAMA</x:v>
      </x:c>
      <x:c r="E37" s="228" t="str">
        <x:v>SIM</x:v>
      </x:c>
      <x:c r="F37" s="232" t="str">
        <x:f>IF(OR(B37="",C37="",E37&lt;&gt;"SIM"),"","ML"&amp;TEXT(B37,"00")&amp;" - "&amp;C37)</x:f>
        <x:v>ML34 - JUNDIAÍ MULTI MODAS</x:v>
      </x:c>
      <x:c r="H37" s="250" t="n">
        <x:v>46631</x:v>
      </x:c>
      <x:c r="I37" s="251" t="n">
        <x:v>6000</x:v>
      </x:c>
    </x:row>
    <x:row r="38">
      <x:c r="A38" s="224" t="n">
        <x:v>34</x:v>
      </x:c>
      <x:c r="B38" s="224" t="n">
        <x:v>35</x:v>
      </x:c>
      <x:c r="C38" s="218" t="str">
        <x:v>CAMPINAS BANDEIRAS</x:v>
      </x:c>
      <x:c r="D38" s="224" t="str">
        <x:v>RAÍZES DO LAR</x:v>
      </x:c>
      <x:c r="E38" s="228" t="str">
        <x:v>SIM</x:v>
      </x:c>
      <x:c r="F38" s="232" t="str">
        <x:f>IF(OR(B38="",C38="",E38&lt;&gt;"SIM"),"","ML"&amp;TEXT(B38,"00")&amp;" - "&amp;C38)</x:f>
        <x:v>ML35 - CAMPINAS BANDEIRAS</x:v>
      </x:c>
      <x:c r="H38" s="250" t="n">
        <x:v>46661</x:v>
      </x:c>
      <x:c r="I38" s="251" t="n">
        <x:v>6000</x:v>
      </x:c>
    </x:row>
    <x:row r="39">
      <x:c r="A39" s="224" t="n">
        <x:v>35</x:v>
      </x:c>
      <x:c r="B39" s="224" t="n">
        <x:v>36</x:v>
      </x:c>
      <x:c r="C39" s="218" t="str">
        <x:v>LENÇÓIS PAULISTA</x:v>
      </x:c>
      <x:c r="D39" s="224" t="str">
        <x:v>OCEANO MARA</x:v>
      </x:c>
      <x:c r="E39" s="228" t="str">
        <x:v>SIM</x:v>
      </x:c>
      <x:c r="F39" s="232" t="str">
        <x:f>IF(OR(B39="",C39="",E39&lt;&gt;"SIM"),"","ML"&amp;TEXT(B39,"00")&amp;" - "&amp;C39)</x:f>
        <x:v>ML36 - LENÇÓIS PAULISTA</x:v>
      </x:c>
      <x:c r="H39" s="250" t="n">
        <x:v>46692</x:v>
      </x:c>
      <x:c r="I39" s="251" t="n">
        <x:v>6000</x:v>
      </x:c>
    </x:row>
    <x:row r="40">
      <x:c r="A40" s="224" t="n">
        <x:v>36</x:v>
      </x:c>
      <x:c r="B40" s="224" t="n">
        <x:v>37</x:v>
      </x:c>
      <x:c r="C40" s="218" t="str">
        <x:v>MARÍLIA</x:v>
      </x:c>
      <x:c r="D40" s="224" t="str">
        <x:v>OCEANO MARA</x:v>
      </x:c>
      <x:c r="E40" s="228" t="str">
        <x:v>SIM</x:v>
      </x:c>
      <x:c r="F40" s="232" t="str">
        <x:f>IF(OR(B40="",C40="",E40&lt;&gt;"SIM"),"","ML"&amp;TEXT(B40,"00")&amp;" - "&amp;C40)</x:f>
        <x:v>ML37 - MARÍLIA</x:v>
      </x:c>
      <x:c r="H40" s="250" t="n">
        <x:v>46722</x:v>
      </x:c>
      <x:c r="I40" s="251" t="n">
        <x:v>6000</x:v>
      </x:c>
    </x:row>
    <x:row r="41">
      <x:c r="A41" s="224" t="n">
        <x:v>37</x:v>
      </x:c>
      <x:c r="B41" s="224" t="n">
        <x:v>38</x:v>
      </x:c>
      <x:c r="C41" s="218" t="str">
        <x:v>HORTOLÂNDIA</x:v>
      </x:c>
      <x:c r="D41" s="224" t="str">
        <x:v>GUARDIÕES DA LUZ</x:v>
      </x:c>
      <x:c r="E41" s="228" t="str">
        <x:v>SIM</x:v>
      </x:c>
      <x:c r="F41" s="232" t="str">
        <x:f>IF(OR(B41="",C41="",E41&lt;&gt;"SIM"),"","ML"&amp;TEXT(B41,"00")&amp;" - "&amp;C41)</x:f>
        <x:v>ML38 - HORTOLÂNDIA</x:v>
      </x:c>
      <x:c r="H41" s="252" t="n">
        <x:v>46753</x:v>
      </x:c>
      <x:c r="I41" s="253" t="n">
        <x:v>6000</x:v>
      </x:c>
    </x:row>
    <x:row r="42">
      <x:c r="A42" s="224" t="n">
        <x:v>38</x:v>
      </x:c>
      <x:c r="B42" s="224" t="n">
        <x:v>39</x:v>
      </x:c>
      <x:c r="C42" s="218" t="str">
        <x:v>CAMPINAS DOM PEDRO</x:v>
      </x:c>
      <x:c r="D42" s="224" t="str">
        <x:v>GUARDIÕES DA LUZ</x:v>
      </x:c>
      <x:c r="E42" s="228" t="str">
        <x:v>SIM</x:v>
      </x:c>
      <x:c r="F42" s="232" t="str">
        <x:f>IF(OR(B42="",C42="",E42&lt;&gt;"SIM"),"","ML"&amp;TEXT(B42,"00")&amp;" - "&amp;C42)</x:f>
        <x:v>ML39 - CAMPINAS DOM PEDRO</x:v>
      </x:c>
    </x:row>
    <x:row r="43">
      <x:c r="A43" s="224" t="n">
        <x:v>39</x:v>
      </x:c>
      <x:c r="B43" s="224" t="n">
        <x:v>40</x:v>
      </x:c>
      <x:c r="C43" s="218" t="str">
        <x:v>LEME</x:v>
      </x:c>
      <x:c r="D43" s="224" t="str">
        <x:v>RAIO BRAVO</x:v>
      </x:c>
      <x:c r="E43" s="228" t="str">
        <x:v>SIM</x:v>
      </x:c>
      <x:c r="F43" s="232" t="str">
        <x:f>IF(OR(B43="",C43="",E43&lt;&gt;"SIM"),"","ML"&amp;TEXT(B43,"00")&amp;" - "&amp;C43)</x:f>
        <x:v>ML40 - LEME</x:v>
      </x:c>
    </x:row>
    <x:row r="44">
      <x:c r="A44" s="224" t="n">
        <x:v>40</x:v>
      </x:c>
      <x:c r="B44" s="224" t="n">
        <x:v>41</x:v>
      </x:c>
      <x:c r="C44" s="218" t="str">
        <x:v>BOTUCATU</x:v>
      </x:c>
      <x:c r="D44" s="224" t="str">
        <x:v>OCEANO MARA</x:v>
      </x:c>
      <x:c r="E44" s="228" t="str">
        <x:v>SIM</x:v>
      </x:c>
      <x:c r="F44" s="232" t="str">
        <x:f>IF(OR(B44="",C44="",E44&lt;&gt;"SIM"),"","ML"&amp;TEXT(B44,"00")&amp;" - "&amp;C44)</x:f>
        <x:v>ML41 - BOTUCATU</x:v>
      </x:c>
    </x:row>
    <x:row r="45">
      <x:c r="A45" s="224" t="n">
        <x:v>41</x:v>
      </x:c>
      <x:c r="B45" s="224" t="n">
        <x:v>42</x:v>
      </x:c>
      <x:c r="C45" s="218" t="str">
        <x:v>BAURU SHOP</x:v>
      </x:c>
      <x:c r="D45" s="224" t="str">
        <x:v>OCEANO MARA</x:v>
      </x:c>
      <x:c r="E45" s="228" t="str">
        <x:v>SIM</x:v>
      </x:c>
      <x:c r="F45" s="232" t="str">
        <x:f>IF(OR(B45="",C45="",E45&lt;&gt;"SIM"),"","ML"&amp;TEXT(B45,"00")&amp;" - "&amp;C45)</x:f>
        <x:v>ML42 - BAURU SHOP</x:v>
      </x:c>
    </x:row>
    <x:row r="46">
      <x:c r="A46" s="224" t="n">
        <x:v>42</x:v>
      </x:c>
      <x:c r="B46" s="224" t="n">
        <x:v>43</x:v>
      </x:c>
      <x:c r="C46" s="218" t="str">
        <x:v>FRANCA</x:v>
      </x:c>
      <x:c r="D46" s="224" t="str">
        <x:v>VENTO DOURADO</x:v>
      </x:c>
      <x:c r="E46" s="228" t="str">
        <x:v>SIM</x:v>
      </x:c>
      <x:c r="F46" s="232" t="str">
        <x:f>IF(OR(B46="",C46="",E46&lt;&gt;"SIM"),"","ML"&amp;TEXT(B46,"00")&amp;" - "&amp;C46)</x:f>
        <x:v>ML43 - FRANCA</x:v>
      </x:c>
    </x:row>
    <x:row r="47">
      <x:c r="A47" s="224" t="n">
        <x:v>43</x:v>
      </x:c>
      <x:c r="B47" s="224" t="n">
        <x:v>44</x:v>
      </x:c>
      <x:c r="C47" s="218" t="str">
        <x:v>AMPARO</x:v>
      </x:c>
      <x:c r="D47" s="224" t="str">
        <x:v>GUARDIÕES DA LUZ</x:v>
      </x:c>
      <x:c r="E47" s="228" t="str">
        <x:v>SIM</x:v>
      </x:c>
      <x:c r="F47" s="232" t="str">
        <x:f>IF(OR(B47="",C47="",E47&lt;&gt;"SIM"),"","ML"&amp;TEXT(B47,"00")&amp;" - "&amp;C47)</x:f>
        <x:v>ML44 - AMPARO</x:v>
      </x:c>
    </x:row>
    <x:row r="48">
      <x:c r="A48" s="224" t="n">
        <x:v>44</x:v>
      </x:c>
      <x:c r="B48" s="224" t="n">
        <x:v>45</x:v>
      </x:c>
      <x:c r="C48" s="218" t="str">
        <x:v>ARARAS</x:v>
      </x:c>
      <x:c r="D48" s="224" t="str">
        <x:v>RAIO BRAVO</x:v>
      </x:c>
      <x:c r="E48" s="228" t="str">
        <x:v>SIM</x:v>
      </x:c>
      <x:c r="F48" s="232" t="str">
        <x:f>IF(OR(B48="",C48="",E48&lt;&gt;"SIM"),"","ML"&amp;TEXT(B48,"00")&amp;" - "&amp;C48)</x:f>
        <x:v>ML45 - ARARAS</x:v>
      </x:c>
    </x:row>
    <x:row r="49">
      <x:c r="A49" s="224" t="n">
        <x:v>45</x:v>
      </x:c>
      <x:c r="B49" s="224" t="n">
        <x:v>46</x:v>
      </x:c>
      <x:c r="C49" s="218" t="str">
        <x:v>FRANCA SHOP</x:v>
      </x:c>
      <x:c r="D49" s="224" t="str">
        <x:v>VENTO DOURADO</x:v>
      </x:c>
      <x:c r="E49" s="228" t="str">
        <x:v>SIM</x:v>
      </x:c>
      <x:c r="F49" s="232" t="str">
        <x:f>IF(OR(B49="",C49="",E49&lt;&gt;"SIM"),"","ML"&amp;TEXT(B49,"00")&amp;" - "&amp;C49)</x:f>
        <x:v>ML46 - FRANCA SHOP</x:v>
      </x:c>
    </x:row>
    <x:row r="50">
      <x:c r="A50" s="224" t="n">
        <x:v>46</x:v>
      </x:c>
      <x:c r="B50" s="224" t="n">
        <x:v>47</x:v>
      </x:c>
      <x:c r="C50" s="218" t="str">
        <x:v>PAULINIA</x:v>
      </x:c>
      <x:c r="D50" s="224" t="str">
        <x:v>GUARDIÕES DA LUZ</x:v>
      </x:c>
      <x:c r="E50" s="228" t="str">
        <x:v>SIM</x:v>
      </x:c>
      <x:c r="F50" s="232" t="str">
        <x:f>IF(OR(B50="",C50="",E50&lt;&gt;"SIM"),"","ML"&amp;TEXT(B50,"00")&amp;" - "&amp;C50)</x:f>
        <x:v>ML47 - PAULINIA</x:v>
      </x:c>
    </x:row>
    <x:row r="51">
      <x:c r="A51" s="224" t="n">
        <x:v>47</x:v>
      </x:c>
      <x:c r="B51" s="224" t="n">
        <x:v>48</x:v>
      </x:c>
      <x:c r="C51" s="218" t="str">
        <x:v>RIBEIRÃO SAUDADE</x:v>
      </x:c>
      <x:c r="D51" s="224" t="str">
        <x:v>VENTO DOURADO</x:v>
      </x:c>
      <x:c r="E51" s="228" t="str">
        <x:v>SIM</x:v>
      </x:c>
      <x:c r="F51" s="232" t="str">
        <x:f>IF(OR(B51="",C51="",E51&lt;&gt;"SIM"),"","ML"&amp;TEXT(B51,"00")&amp;" - "&amp;C51)</x:f>
        <x:v>ML48 - RIBEIRÃO SAUDADE</x:v>
      </x:c>
    </x:row>
    <x:row r="52">
      <x:c r="A52" s="224" t="n">
        <x:v>48</x:v>
      </x:c>
      <x:c r="B52" s="224" t="n">
        <x:v>49</x:v>
      </x:c>
      <x:c r="C52" s="218" t="str">
        <x:v>BOTUCATU MAJOR</x:v>
      </x:c>
      <x:c r="D52" s="224" t="str">
        <x:v>OCEANO MARA</x:v>
      </x:c>
      <x:c r="E52" s="228" t="str">
        <x:v>SIM</x:v>
      </x:c>
      <x:c r="F52" s="232" t="str">
        <x:f>IF(OR(B52="",C52="",E52&lt;&gt;"SIM"),"","ML"&amp;TEXT(B52,"00")&amp;" - "&amp;C52)</x:f>
        <x:v>ML49 - BOTUCATU MAJOR</x:v>
      </x:c>
    </x:row>
    <x:row r="53">
      <x:c r="A53" s="224" t="n">
        <x:v>49</x:v>
      </x:c>
      <x:c r="B53" s="224" t="n">
        <x:v>50</x:v>
      </x:c>
      <x:c r="C53" s="218" t="str">
        <x:v>CAMPINAS SAUDADE</x:v>
      </x:c>
      <x:c r="D53" s="224" t="str">
        <x:v>RAÍZES DO LAR</x:v>
      </x:c>
      <x:c r="E53" s="228" t="str">
        <x:v>SIM</x:v>
      </x:c>
      <x:c r="F53" s="232" t="str">
        <x:f>IF(OR(B53="",C53="",E53&lt;&gt;"SIM"),"","ML"&amp;TEXT(B53,"00")&amp;" - "&amp;C53)</x:f>
        <x:v>ML50 - CAMPINAS SAUDADE</x:v>
      </x:c>
    </x:row>
    <x:row r="54">
      <x:c r="A54" s="224" t="n">
        <x:v>50</x:v>
      </x:c>
      <x:c r="B54" s="224" t="n">
        <x:v>51</x:v>
      </x:c>
      <x:c r="C54" s="218" t="str">
        <x:v>ITATIBA</x:v>
      </x:c>
      <x:c r="D54" s="224" t="str">
        <x:v>GUARDIÕES DA CHAMA</x:v>
      </x:c>
      <x:c r="E54" s="228" t="str">
        <x:v>SIM</x:v>
      </x:c>
      <x:c r="F54" s="232" t="str">
        <x:f>IF(OR(B54="",C54="",E54&lt;&gt;"SIM"),"","ML"&amp;TEXT(B54,"00")&amp;" - "&amp;C54)</x:f>
        <x:v>ML51 - ITATIBA</x:v>
      </x:c>
    </x:row>
    <x:row r="55">
      <x:c r="A55" s="224" t="n">
        <x:v>51</x:v>
      </x:c>
      <x:c r="B55" s="224" t="n">
        <x:v>52</x:v>
      </x:c>
      <x:c r="C55" s="218" t="str">
        <x:v>JAU</x:v>
      </x:c>
      <x:c r="D55" s="224" t="str">
        <x:v>OCEANO MARA</x:v>
      </x:c>
      <x:c r="E55" s="228" t="str">
        <x:v>SIM</x:v>
      </x:c>
      <x:c r="F55" s="232" t="str">
        <x:f>IF(OR(B55="",C55="",E55&lt;&gt;"SIM"),"","ML"&amp;TEXT(B55,"00")&amp;" - "&amp;C55)</x:f>
        <x:v>ML52 - JAU</x:v>
      </x:c>
    </x:row>
    <x:row r="56">
      <x:c r="A56" s="224" t="n">
        <x:v>52</x:v>
      </x:c>
      <x:c r="B56" s="224" t="n">
        <x:v>53</x:v>
      </x:c>
      <x:c r="C56" s="218" t="str">
        <x:v>PIRASSUNUNGA</x:v>
      </x:c>
      <x:c r="D56" s="224" t="str">
        <x:v>RAIO BRAVO</x:v>
      </x:c>
      <x:c r="E56" s="228" t="str">
        <x:v>SIM</x:v>
      </x:c>
      <x:c r="F56" s="232" t="str">
        <x:f>IF(OR(B56="",C56="",E56&lt;&gt;"SIM"),"","ML"&amp;TEXT(B56,"00")&amp;" - "&amp;C56)</x:f>
        <x:v>ML53 - PIRASSUNUNGA</x:v>
      </x:c>
    </x:row>
    <x:row r="57">
      <x:c r="A57" s="224" t="n">
        <x:v>53</x:v>
      </x:c>
      <x:c r="B57" s="224" t="n">
        <x:v>54</x:v>
      </x:c>
      <x:c r="C57" s="218" t="str">
        <x:v>ARAÇATUBA</x:v>
      </x:c>
      <x:c r="D57" s="224" t="str">
        <x:v>OCEANO MARA</x:v>
      </x:c>
      <x:c r="E57" s="228" t="str">
        <x:v>SIM</x:v>
      </x:c>
      <x:c r="F57" s="232" t="str">
        <x:f>IF(OR(B57="",C57="",E57&lt;&gt;"SIM"),"","ML"&amp;TEXT(B57,"00")&amp;" - "&amp;C57)</x:f>
        <x:v>ML54 - ARAÇATUBA</x:v>
      </x:c>
    </x:row>
    <x:row r="58">
      <x:c r="A58" s="224" t="n">
        <x:v>54</x:v>
      </x:c>
      <x:c r="B58" s="224" t="n">
        <x:v>55</x:v>
      </x:c>
      <x:c r="C58" s="218" t="str">
        <x:v>JUNDIAÍ PINCINATO</x:v>
      </x:c>
      <x:c r="D58" s="224" t="str">
        <x:v>GUARDIÕES DA CHAMA</x:v>
      </x:c>
      <x:c r="E58" s="228" t="str">
        <x:v>SIM</x:v>
      </x:c>
      <x:c r="F58" s="232" t="str">
        <x:f>IF(OR(B58="",C58="",E58&lt;&gt;"SIM"),"","ML"&amp;TEXT(B58,"00")&amp;" - "&amp;C58)</x:f>
        <x:v>ML55 - JUNDIAÍ PINCINATO</x:v>
      </x:c>
    </x:row>
    <x:row r="59">
      <x:c r="A59" s="224" t="n">
        <x:v>55</x:v>
      </x:c>
      <x:c r="B59" s="224" t="n">
        <x:v>56</x:v>
      </x:c>
      <x:c r="C59" s="218" t="str">
        <x:v>CATANDUVA</x:v>
      </x:c>
      <x:c r="D59" s="224" t="str">
        <x:v>VENTO DOURADO</x:v>
      </x:c>
      <x:c r="E59" s="228" t="str">
        <x:v>SIM</x:v>
      </x:c>
      <x:c r="F59" s="232" t="str">
        <x:f>IF(OR(B59="",C59="",E59&lt;&gt;"SIM"),"","ML"&amp;TEXT(B59,"00")&amp;" - "&amp;C59)</x:f>
        <x:v>ML56 - CATANDUVA</x:v>
      </x:c>
    </x:row>
    <x:row r="60">
      <x:c r="A60" s="224" t="n">
        <x:v>56</x:v>
      </x:c>
      <x:c r="B60" s="224" t="n">
        <x:v>57</x:v>
      </x:c>
      <x:c r="C60" s="218" t="str">
        <x:v>CAIEIRAS</x:v>
      </x:c>
      <x:c r="D60" s="224" t="str">
        <x:v>GUARDIÕES DA CHAMA</x:v>
      </x:c>
      <x:c r="E60" s="228" t="str">
        <x:v>SIM</x:v>
      </x:c>
      <x:c r="F60" s="232" t="str">
        <x:f>IF(OR(B60="",C60="",E60&lt;&gt;"SIM"),"","ML"&amp;TEXT(B60,"00")&amp;" - "&amp;C60)</x:f>
        <x:v>ML57 - CAIEIRAS</x:v>
      </x:c>
    </x:row>
    <x:row r="61">
      <x:c r="A61" s="224" t="n">
        <x:v>57</x:v>
      </x:c>
      <x:c r="B61" s="224" t="n">
        <x:v>58</x:v>
      </x:c>
      <x:c r="C61" s="218" t="str">
        <x:v>SALTO</x:v>
      </x:c>
      <x:c r="D61" s="224" t="str">
        <x:v>RAÍZES DO LAR</x:v>
      </x:c>
      <x:c r="E61" s="228" t="str">
        <x:v>SIM</x:v>
      </x:c>
      <x:c r="F61" s="232" t="str">
        <x:f>IF(OR(B61="",C61="",E61&lt;&gt;"SIM"),"","ML"&amp;TEXT(B61,"00")&amp;" - "&amp;C61)</x:f>
        <x:v>ML58 - SALTO</x:v>
      </x:c>
    </x:row>
    <x:row r="62">
      <x:c r="A62" s="224" t="n">
        <x:v>58</x:v>
      </x:c>
      <x:c r="B62" s="224" t="n">
        <x:v>59</x:v>
      </x:c>
      <x:c r="C62" s="218" t="str">
        <x:v>AVARÉ</x:v>
      </x:c>
      <x:c r="D62" s="224" t="str">
        <x:v>OCEANO MARA</x:v>
      </x:c>
      <x:c r="E62" s="228" t="str">
        <x:v>SIM</x:v>
      </x:c>
      <x:c r="F62" s="232" t="str">
        <x:f>IF(OR(B62="",C62="",E62&lt;&gt;"SIM"),"","ML"&amp;TEXT(B62,"00")&amp;" - "&amp;C62)</x:f>
        <x:v>ML59 - AVARÉ</x:v>
      </x:c>
    </x:row>
    <x:row r="63">
      <x:c r="A63" s="224" t="n">
        <x:v>59</x:v>
      </x:c>
      <x:c r="B63" s="224" t="n">
        <x:v>60</x:v>
      </x:c>
      <x:c r="C63" s="218" t="str">
        <x:v>BARRETOS</x:v>
      </x:c>
      <x:c r="D63" s="224" t="str">
        <x:v>VENTO DOURADO</x:v>
      </x:c>
      <x:c r="E63" s="228" t="str">
        <x:v>SIM</x:v>
      </x:c>
      <x:c r="F63" s="232" t="str">
        <x:f>IF(OR(B63="",C63="",E63&lt;&gt;"SIM"),"","ML"&amp;TEXT(B63,"00")&amp;" - "&amp;C63)</x:f>
        <x:v>ML60 - BARRETOS</x:v>
      </x:c>
    </x:row>
    <x:row r="64">
      <x:c r="A64" s="224" t="n">
        <x:v>60</x:v>
      </x:c>
      <x:c r="B64" s="224" t="n">
        <x:v>61</x:v>
      </x:c>
      <x:c r="C64" s="218" t="str">
        <x:v>VINHEDO</x:v>
      </x:c>
      <x:c r="D64" s="224" t="str">
        <x:v>GUARDIÕES DA CHAMA</x:v>
      </x:c>
      <x:c r="E64" s="228" t="str">
        <x:v>SIM</x:v>
      </x:c>
      <x:c r="F64" s="232" t="str">
        <x:f>IF(OR(B64="",C64="",E64&lt;&gt;"SIM"),"","ML"&amp;TEXT(B64,"00")&amp;" - "&amp;C64)</x:f>
        <x:v>ML61 - VINHEDO</x:v>
      </x:c>
    </x:row>
    <x:row r="65">
      <x:c r="A65" s="224" t="n">
        <x:v>61</x:v>
      </x:c>
      <x:c r="B65" s="224"/>
      <x:c r="C65" s="218"/>
      <x:c r="D65" s="224"/>
      <x:c r="E65" s="228" t="str">
        <x:v>NÃO</x:v>
      </x:c>
      <x:c r="F65" s="232" t="str">
        <x:f>IF(OR(B65="",C65="",E65&lt;&gt;"SIM"),"","ML"&amp;TEXT(B65,"00")&amp;" - "&amp;C65)</x:f>
      </x:c>
    </x:row>
    <x:row r="66">
      <x:c r="A66" s="224" t="n">
        <x:v>62</x:v>
      </x:c>
      <x:c r="B66" s="224"/>
      <x:c r="C66" s="218"/>
      <x:c r="D66" s="224"/>
      <x:c r="E66" s="228" t="str">
        <x:v>NÃO</x:v>
      </x:c>
      <x:c r="F66" s="232" t="str">
        <x:f>IF(OR(B66="",C66="",E66&lt;&gt;"SIM"),"","ML"&amp;TEXT(B66,"00")&amp;" - "&amp;C66)</x:f>
      </x:c>
    </x:row>
    <x:row r="67">
      <x:c r="A67" s="224" t="n">
        <x:v>63</x:v>
      </x:c>
      <x:c r="B67" s="224"/>
      <x:c r="C67" s="218"/>
      <x:c r="D67" s="224"/>
      <x:c r="E67" s="228" t="str">
        <x:v>NÃO</x:v>
      </x:c>
      <x:c r="F67" s="232" t="str">
        <x:f>IF(OR(B67="",C67="",E67&lt;&gt;"SIM"),"","ML"&amp;TEXT(B67,"00")&amp;" - "&amp;C67)</x:f>
      </x:c>
    </x:row>
    <x:row r="68">
      <x:c r="A68" s="224" t="n">
        <x:v>64</x:v>
      </x:c>
      <x:c r="B68" s="224"/>
      <x:c r="C68" s="218"/>
      <x:c r="D68" s="224"/>
      <x:c r="E68" s="228" t="str">
        <x:v>NÃO</x:v>
      </x:c>
      <x:c r="F68" s="232" t="str">
        <x:f>IF(OR(B68="",C68="",E68&lt;&gt;"SIM"),"","ML"&amp;TEXT(B68,"00")&amp;" - "&amp;C68)</x:f>
      </x:c>
    </x:row>
    <x:row r="69">
      <x:c r="A69" s="224" t="n">
        <x:v>65</x:v>
      </x:c>
      <x:c r="B69" s="224"/>
      <x:c r="C69" s="218"/>
      <x:c r="D69" s="224"/>
      <x:c r="E69" s="228" t="str">
        <x:v>NÃO</x:v>
      </x:c>
      <x:c r="F69" s="232" t="str">
        <x:f>IF(OR(B69="",C69="",E69&lt;&gt;"SIM"),"","ML"&amp;TEXT(B69,"00")&amp;" - "&amp;C69)</x:f>
      </x:c>
    </x:row>
    <x:row r="70">
      <x:c r="A70" s="224" t="n">
        <x:v>66</x:v>
      </x:c>
      <x:c r="B70" s="224"/>
      <x:c r="C70" s="218"/>
      <x:c r="D70" s="224"/>
      <x:c r="E70" s="228" t="str">
        <x:v>NÃO</x:v>
      </x:c>
      <x:c r="F70" s="232" t="str">
        <x:f>IF(OR(B70="",C70="",E70&lt;&gt;"SIM"),"","ML"&amp;TEXT(B70,"00")&amp;" - "&amp;C70)</x:f>
      </x:c>
    </x:row>
    <x:row r="71">
      <x:c r="A71" s="224" t="n">
        <x:v>67</x:v>
      </x:c>
      <x:c r="B71" s="224"/>
      <x:c r="C71" s="218"/>
      <x:c r="D71" s="224"/>
      <x:c r="E71" s="228" t="str">
        <x:v>NÃO</x:v>
      </x:c>
      <x:c r="F71" s="232" t="str">
        <x:f>IF(OR(B71="",C71="",E71&lt;&gt;"SIM"),"","ML"&amp;TEXT(B71,"00")&amp;" - "&amp;C71)</x:f>
      </x:c>
    </x:row>
    <x:row r="72">
      <x:c r="A72" s="224" t="n">
        <x:v>68</x:v>
      </x:c>
      <x:c r="B72" s="224"/>
      <x:c r="C72" s="218"/>
      <x:c r="D72" s="224"/>
      <x:c r="E72" s="228" t="str">
        <x:v>NÃO</x:v>
      </x:c>
      <x:c r="F72" s="232" t="str">
        <x:f>IF(OR(B72="",C72="",E72&lt;&gt;"SIM"),"","ML"&amp;TEXT(B72,"00")&amp;" - "&amp;C72)</x:f>
      </x:c>
    </x:row>
    <x:row r="73">
      <x:c r="A73" s="224" t="n">
        <x:v>69</x:v>
      </x:c>
      <x:c r="B73" s="224"/>
      <x:c r="C73" s="218"/>
      <x:c r="D73" s="224"/>
      <x:c r="E73" s="228" t="str">
        <x:v>NÃO</x:v>
      </x:c>
      <x:c r="F73" s="232" t="str">
        <x:f>IF(OR(B73="",C73="",E73&lt;&gt;"SIM"),"","ML"&amp;TEXT(B73,"00")&amp;" - "&amp;C73)</x:f>
      </x:c>
    </x:row>
    <x:row r="74">
      <x:c r="A74" s="224" t="n">
        <x:v>70</x:v>
      </x:c>
      <x:c r="B74" s="224"/>
      <x:c r="C74" s="218"/>
      <x:c r="D74" s="224"/>
      <x:c r="E74" s="228" t="str">
        <x:v>NÃO</x:v>
      </x:c>
      <x:c r="F74" s="232" t="str">
        <x:f>IF(OR(B74="",C74="",E74&lt;&gt;"SIM"),"","ML"&amp;TEXT(B74,"00")&amp;" - "&amp;C74)</x:f>
      </x:c>
    </x:row>
    <x:row r="75">
      <x:c r="A75" s="224" t="n">
        <x:v>71</x:v>
      </x:c>
      <x:c r="B75" s="224"/>
      <x:c r="C75" s="218"/>
      <x:c r="D75" s="224"/>
      <x:c r="E75" s="228" t="str">
        <x:v>NÃO</x:v>
      </x:c>
      <x:c r="F75" s="232" t="str">
        <x:f>IF(OR(B75="",C75="",E75&lt;&gt;"SIM"),"","ML"&amp;TEXT(B75,"00")&amp;" - "&amp;C75)</x:f>
      </x:c>
    </x:row>
    <x:row r="76">
      <x:c r="A76" s="224" t="n">
        <x:v>72</x:v>
      </x:c>
      <x:c r="B76" s="224"/>
      <x:c r="C76" s="218"/>
      <x:c r="D76" s="224"/>
      <x:c r="E76" s="228" t="str">
        <x:v>NÃO</x:v>
      </x:c>
      <x:c r="F76" s="232" t="str">
        <x:f>IF(OR(B76="",C76="",E76&lt;&gt;"SIM"),"","ML"&amp;TEXT(B76,"00")&amp;" - "&amp;C76)</x:f>
      </x:c>
    </x:row>
    <x:row r="77">
      <x:c r="A77" s="224" t="n">
        <x:v>73</x:v>
      </x:c>
      <x:c r="B77" s="224"/>
      <x:c r="C77" s="218"/>
      <x:c r="D77" s="224"/>
      <x:c r="E77" s="228" t="str">
        <x:v>NÃO</x:v>
      </x:c>
      <x:c r="F77" s="232" t="str">
        <x:f>IF(OR(B77="",C77="",E77&lt;&gt;"SIM"),"","ML"&amp;TEXT(B77,"00")&amp;" - "&amp;C77)</x:f>
      </x:c>
    </x:row>
    <x:row r="78">
      <x:c r="A78" s="224" t="n">
        <x:v>74</x:v>
      </x:c>
      <x:c r="B78" s="224"/>
      <x:c r="C78" s="218"/>
      <x:c r="D78" s="224"/>
      <x:c r="E78" s="228" t="str">
        <x:v>NÃO</x:v>
      </x:c>
      <x:c r="F78" s="232" t="str">
        <x:f>IF(OR(B78="",C78="",E78&lt;&gt;"SIM"),"","ML"&amp;TEXT(B78,"00")&amp;" - "&amp;C78)</x:f>
      </x:c>
    </x:row>
    <x:row r="79">
      <x:c r="A79" s="224" t="n">
        <x:v>75</x:v>
      </x:c>
      <x:c r="B79" s="224"/>
      <x:c r="C79" s="218"/>
      <x:c r="D79" s="224"/>
      <x:c r="E79" s="228" t="str">
        <x:v>NÃO</x:v>
      </x:c>
      <x:c r="F79" s="232" t="str">
        <x:f>IF(OR(B79="",C79="",E79&lt;&gt;"SIM"),"","ML"&amp;TEXT(B79,"00")&amp;" - "&amp;C79)</x:f>
      </x:c>
    </x:row>
    <x:row r="80">
      <x:c r="A80" s="224" t="n">
        <x:v>76</x:v>
      </x:c>
      <x:c r="B80" s="224"/>
      <x:c r="C80" s="218"/>
      <x:c r="D80" s="224"/>
      <x:c r="E80" s="228" t="str">
        <x:v>NÃO</x:v>
      </x:c>
      <x:c r="F80" s="232" t="str">
        <x:f>IF(OR(B80="",C80="",E80&lt;&gt;"SIM"),"","ML"&amp;TEXT(B80,"00")&amp;" - "&amp;C80)</x:f>
      </x:c>
    </x:row>
    <x:row r="81">
      <x:c r="A81" s="224" t="n">
        <x:v>77</x:v>
      </x:c>
      <x:c r="B81" s="224"/>
      <x:c r="C81" s="218"/>
      <x:c r="D81" s="224"/>
      <x:c r="E81" s="228" t="str">
        <x:v>NÃO</x:v>
      </x:c>
      <x:c r="F81" s="232" t="str">
        <x:f>IF(OR(B81="",C81="",E81&lt;&gt;"SIM"),"","ML"&amp;TEXT(B81,"00")&amp;" - "&amp;C81)</x:f>
      </x:c>
    </x:row>
    <x:row r="82">
      <x:c r="A82" s="224" t="n">
        <x:v>78</x:v>
      </x:c>
      <x:c r="B82" s="224"/>
      <x:c r="C82" s="218"/>
      <x:c r="D82" s="224"/>
      <x:c r="E82" s="228" t="str">
        <x:v>NÃO</x:v>
      </x:c>
      <x:c r="F82" s="232" t="str">
        <x:f>IF(OR(B82="",C82="",E82&lt;&gt;"SIM"),"","ML"&amp;TEXT(B82,"00")&amp;" - "&amp;C82)</x:f>
      </x:c>
    </x:row>
    <x:row r="83">
      <x:c r="A83" s="224" t="n">
        <x:v>79</x:v>
      </x:c>
      <x:c r="B83" s="224"/>
      <x:c r="C83" s="218"/>
      <x:c r="D83" s="224"/>
      <x:c r="E83" s="228" t="str">
        <x:v>NÃO</x:v>
      </x:c>
      <x:c r="F83" s="232" t="str">
        <x:f>IF(OR(B83="",C83="",E83&lt;&gt;"SIM"),"","ML"&amp;TEXT(B83,"00")&amp;" - "&amp;C83)</x:f>
      </x:c>
    </x:row>
    <x:row r="84">
      <x:c r="A84" s="224" t="n">
        <x:v>80</x:v>
      </x:c>
      <x:c r="B84" s="224"/>
      <x:c r="C84" s="218"/>
      <x:c r="D84" s="224"/>
      <x:c r="E84" s="228" t="str">
        <x:v>NÃO</x:v>
      </x:c>
      <x:c r="F84" s="232" t="str">
        <x:f>IF(OR(B84="",C84="",E84&lt;&gt;"SIM"),"","ML"&amp;TEXT(B84,"00")&amp;" - "&amp;C84)</x:f>
      </x:c>
    </x:row>
    <x:row r="85">
      <x:c r="A85" s="224" t="n">
        <x:v>81</x:v>
      </x:c>
      <x:c r="B85" s="224"/>
      <x:c r="C85" s="218"/>
      <x:c r="D85" s="224"/>
      <x:c r="E85" s="228" t="str">
        <x:v>NÃO</x:v>
      </x:c>
      <x:c r="F85" s="232" t="str">
        <x:f>IF(OR(B85="",C85="",E85&lt;&gt;"SIM"),"","ML"&amp;TEXT(B85,"00")&amp;" - "&amp;C85)</x:f>
      </x:c>
    </x:row>
    <x:row r="86">
      <x:c r="A86" s="224" t="n">
        <x:v>82</x:v>
      </x:c>
      <x:c r="B86" s="224"/>
      <x:c r="C86" s="218"/>
      <x:c r="D86" s="224"/>
      <x:c r="E86" s="228" t="str">
        <x:v>NÃO</x:v>
      </x:c>
      <x:c r="F86" s="232" t="str">
        <x:f>IF(OR(B86="",C86="",E86&lt;&gt;"SIM"),"","ML"&amp;TEXT(B86,"00")&amp;" - "&amp;C86)</x:f>
      </x:c>
    </x:row>
    <x:row r="87">
      <x:c r="A87" s="224" t="n">
        <x:v>83</x:v>
      </x:c>
      <x:c r="B87" s="224"/>
      <x:c r="C87" s="218"/>
      <x:c r="D87" s="224"/>
      <x:c r="E87" s="228" t="str">
        <x:v>NÃO</x:v>
      </x:c>
      <x:c r="F87" s="232" t="str">
        <x:f>IF(OR(B87="",C87="",E87&lt;&gt;"SIM"),"","ML"&amp;TEXT(B87,"00")&amp;" - "&amp;C87)</x:f>
      </x:c>
    </x:row>
    <x:row r="88">
      <x:c r="A88" s="224" t="n">
        <x:v>84</x:v>
      </x:c>
      <x:c r="B88" s="224"/>
      <x:c r="C88" s="218"/>
      <x:c r="D88" s="224"/>
      <x:c r="E88" s="228" t="str">
        <x:v>NÃO</x:v>
      </x:c>
      <x:c r="F88" s="232" t="str">
        <x:f>IF(OR(B88="",C88="",E88&lt;&gt;"SIM"),"","ML"&amp;TEXT(B88,"00")&amp;" - "&amp;C88)</x:f>
      </x:c>
    </x:row>
    <x:row r="89">
      <x:c r="A89" s="224" t="n">
        <x:v>85</x:v>
      </x:c>
      <x:c r="B89" s="224"/>
      <x:c r="C89" s="218"/>
      <x:c r="D89" s="224"/>
      <x:c r="E89" s="228" t="str">
        <x:v>NÃO</x:v>
      </x:c>
      <x:c r="F89" s="232" t="str">
        <x:f>IF(OR(B89="",C89="",E89&lt;&gt;"SIM"),"","ML"&amp;TEXT(B89,"00")&amp;" - "&amp;C89)</x:f>
      </x:c>
    </x:row>
    <x:row r="90">
      <x:c r="A90" s="224" t="n">
        <x:v>86</x:v>
      </x:c>
      <x:c r="B90" s="224"/>
      <x:c r="C90" s="218"/>
      <x:c r="D90" s="224"/>
      <x:c r="E90" s="228" t="str">
        <x:v>NÃO</x:v>
      </x:c>
      <x:c r="F90" s="232" t="str">
        <x:f>IF(OR(B90="",C90="",E90&lt;&gt;"SIM"),"","ML"&amp;TEXT(B90,"00")&amp;" - "&amp;C90)</x:f>
      </x:c>
    </x:row>
    <x:row r="91">
      <x:c r="A91" s="224" t="n">
        <x:v>87</x:v>
      </x:c>
      <x:c r="B91" s="224"/>
      <x:c r="C91" s="218"/>
      <x:c r="D91" s="224"/>
      <x:c r="E91" s="228" t="str">
        <x:v>NÃO</x:v>
      </x:c>
      <x:c r="F91" s="232" t="str">
        <x:f>IF(OR(B91="",C91="",E91&lt;&gt;"SIM"),"","ML"&amp;TEXT(B91,"00")&amp;" - "&amp;C91)</x:f>
      </x:c>
    </x:row>
    <x:row r="92">
      <x:c r="A92" s="224" t="n">
        <x:v>88</x:v>
      </x:c>
      <x:c r="B92" s="224"/>
      <x:c r="C92" s="218"/>
      <x:c r="D92" s="224"/>
      <x:c r="E92" s="228" t="str">
        <x:v>NÃO</x:v>
      </x:c>
      <x:c r="F92" s="232" t="str">
        <x:f>IF(OR(B92="",C92="",E92&lt;&gt;"SIM"),"","ML"&amp;TEXT(B92,"00")&amp;" - "&amp;C92)</x:f>
      </x:c>
    </x:row>
    <x:row r="93">
      <x:c r="A93" s="224" t="n">
        <x:v>89</x:v>
      </x:c>
      <x:c r="B93" s="224"/>
      <x:c r="C93" s="218"/>
      <x:c r="D93" s="224"/>
      <x:c r="E93" s="228" t="str">
        <x:v>NÃO</x:v>
      </x:c>
      <x:c r="F93" s="232" t="str">
        <x:f>IF(OR(B93="",C93="",E93&lt;&gt;"SIM"),"","ML"&amp;TEXT(B93,"00")&amp;" - "&amp;C93)</x:f>
      </x:c>
    </x:row>
    <x:row r="94">
      <x:c r="A94" s="224" t="n">
        <x:v>90</x:v>
      </x:c>
      <x:c r="B94" s="224"/>
      <x:c r="C94" s="218"/>
      <x:c r="D94" s="224"/>
      <x:c r="E94" s="228" t="str">
        <x:v>NÃO</x:v>
      </x:c>
      <x:c r="F94" s="232" t="str">
        <x:f>IF(OR(B94="",C94="",E94&lt;&gt;"SIM"),"","ML"&amp;TEXT(B94,"00")&amp;" - "&amp;C94)</x:f>
      </x:c>
    </x:row>
    <x:row r="95">
      <x:c r="A95" s="224" t="n">
        <x:v>91</x:v>
      </x:c>
      <x:c r="B95" s="224"/>
      <x:c r="C95" s="218"/>
      <x:c r="D95" s="224"/>
      <x:c r="E95" s="228" t="str">
        <x:v>NÃO</x:v>
      </x:c>
      <x:c r="F95" s="232" t="str">
        <x:f>IF(OR(B95="",C95="",E95&lt;&gt;"SIM"),"","ML"&amp;TEXT(B95,"00")&amp;" - "&amp;C95)</x:f>
      </x:c>
    </x:row>
    <x:row r="96">
      <x:c r="A96" s="224" t="n">
        <x:v>92</x:v>
      </x:c>
      <x:c r="B96" s="224"/>
      <x:c r="C96" s="218"/>
      <x:c r="D96" s="224"/>
      <x:c r="E96" s="228" t="str">
        <x:v>NÃO</x:v>
      </x:c>
      <x:c r="F96" s="232" t="str">
        <x:f>IF(OR(B96="",C96="",E96&lt;&gt;"SIM"),"","ML"&amp;TEXT(B96,"00")&amp;" - "&amp;C96)</x:f>
      </x:c>
    </x:row>
    <x:row r="97">
      <x:c r="A97" s="224" t="n">
        <x:v>93</x:v>
      </x:c>
      <x:c r="B97" s="224"/>
      <x:c r="C97" s="218"/>
      <x:c r="D97" s="224"/>
      <x:c r="E97" s="228" t="str">
        <x:v>NÃO</x:v>
      </x:c>
      <x:c r="F97" s="232" t="str">
        <x:f>IF(OR(B97="",C97="",E97&lt;&gt;"SIM"),"","ML"&amp;TEXT(B97,"00")&amp;" - "&amp;C97)</x:f>
      </x:c>
    </x:row>
    <x:row r="98">
      <x:c r="A98" s="224" t="n">
        <x:v>94</x:v>
      </x:c>
      <x:c r="B98" s="224"/>
      <x:c r="C98" s="218"/>
      <x:c r="D98" s="224"/>
      <x:c r="E98" s="228" t="str">
        <x:v>NÃO</x:v>
      </x:c>
      <x:c r="F98" s="232" t="str">
        <x:f>IF(OR(B98="",C98="",E98&lt;&gt;"SIM"),"","ML"&amp;TEXT(B98,"00")&amp;" - "&amp;C98)</x:f>
      </x:c>
    </x:row>
    <x:row r="99">
      <x:c r="A99" s="224" t="n">
        <x:v>95</x:v>
      </x:c>
      <x:c r="B99" s="224"/>
      <x:c r="C99" s="218"/>
      <x:c r="D99" s="224"/>
      <x:c r="E99" s="228" t="str">
        <x:v>NÃO</x:v>
      </x:c>
      <x:c r="F99" s="232" t="str">
        <x:f>IF(OR(B99="",C99="",E99&lt;&gt;"SIM"),"","ML"&amp;TEXT(B99,"00")&amp;" - "&amp;C99)</x:f>
      </x:c>
    </x:row>
    <x:row r="100">
      <x:c r="A100" s="224" t="n">
        <x:v>96</x:v>
      </x:c>
      <x:c r="B100" s="224"/>
      <x:c r="C100" s="218"/>
      <x:c r="D100" s="224"/>
      <x:c r="E100" s="228" t="str">
        <x:v>NÃO</x:v>
      </x:c>
      <x:c r="F100" s="232" t="str">
        <x:f>IF(OR(B100="",C100="",E100&lt;&gt;"SIM"),"","ML"&amp;TEXT(B100,"00")&amp;" - "&amp;C100)</x:f>
      </x:c>
    </x:row>
    <x:row r="101">
      <x:c r="A101" s="224" t="n">
        <x:v>97</x:v>
      </x:c>
      <x:c r="B101" s="224"/>
      <x:c r="C101" s="218"/>
      <x:c r="D101" s="224"/>
      <x:c r="E101" s="228" t="str">
        <x:v>NÃO</x:v>
      </x:c>
      <x:c r="F101" s="232" t="str">
        <x:f>IF(OR(B101="",C101="",E101&lt;&gt;"SIM"),"","ML"&amp;TEXT(B101,"00")&amp;" - "&amp;C101)</x:f>
      </x:c>
    </x:row>
    <x:row r="102">
      <x:c r="A102" s="224" t="n">
        <x:v>98</x:v>
      </x:c>
      <x:c r="B102" s="224"/>
      <x:c r="C102" s="218"/>
      <x:c r="D102" s="224"/>
      <x:c r="E102" s="228" t="str">
        <x:v>NÃO</x:v>
      </x:c>
      <x:c r="F102" s="232" t="str">
        <x:f>IF(OR(B102="",C102="",E102&lt;&gt;"SIM"),"","ML"&amp;TEXT(B102,"00")&amp;" - "&amp;C102)</x:f>
      </x:c>
    </x:row>
    <x:row r="103">
      <x:c r="A103" s="224" t="n">
        <x:v>99</x:v>
      </x:c>
      <x:c r="B103" s="224"/>
      <x:c r="C103" s="218"/>
      <x:c r="D103" s="224"/>
      <x:c r="E103" s="228" t="str">
        <x:v>NÃO</x:v>
      </x:c>
      <x:c r="F103" s="232" t="str">
        <x:f>IF(OR(B103="",C103="",E103&lt;&gt;"SIM"),"","ML"&amp;TEXT(B103,"00")&amp;" - "&amp;C103)</x:f>
      </x:c>
    </x:row>
    <x:row r="104">
      <x:c r="A104" s="225" t="n">
        <x:v>100</x:v>
      </x:c>
      <x:c r="B104" s="225"/>
      <x:c r="C104" s="219"/>
      <x:c r="D104" s="225"/>
      <x:c r="E104" s="229" t="str">
        <x:v>NÃO</x:v>
      </x:c>
      <x:c r="F104" s="233" t="str">
        <x:f>IF(OR(B104="",C104="",E104&lt;&gt;"SIM"),"","ML"&amp;TEXT(B104,"00")&amp;" - "&amp;C104)</x:f>
      </x:c>
    </x:row>
  </x:sheetData>
  <x:mergeCells>
    <x:mergeCell ref="A1:F1"/>
    <x:mergeCell ref="A2:F2"/>
    <x:mergeCell ref="H1:I1"/>
  </x:mergeCells>
  <x:conditionalFormatting sqref="A5:F104">
    <x:cfRule type="expression" dxfId="18" priority="1">
      <x:formula>$E5="SIM"</x:formula>
    </x:cfRule>
    <x:cfRule type="expression" dxfId="36" priority="3">
      <x:formula>$E5="SIM"</x:formula>
    </x:cfRule>
  </x:conditionalFormatting>
  <x:conditionalFormatting sqref="E5:E104">
    <x:cfRule type="expression" dxfId="19" priority="2">
      <x:formula>E5="NÃO"</x:formula>
    </x:cfRule>
    <x:cfRule type="expression" dxfId="37" priority="4">
      <x:formula>E5="SIM"</x:formula>
    </x:cfRule>
    <x:cfRule type="expression" dxfId="38" priority="5">
      <x:formula>E5="NÃO"</x:formula>
    </x:cfRule>
  </x:conditionalFormatting>
  <x:dataValidations count="3">
    <x:dataValidation type="whole" errorStyle="warning" operator="between" allowBlank="1" showErrorMessage="1" errorTitle="Número inválido" error="Use somente o número da loja (ex.: 62)." sqref="B5:B104">
      <x:formula1>1</x:formula1>
      <x:formula2>999</x:formula2>
    </x:dataValidation>
    <x:dataValidation type="list" allowBlank="1" showDropDown="0" sqref="D5:D104">
      <x:formula1>"GUARDIÕES DA CHAMA,GUARDIÕES DA LUZ,OCEANO MARA,RAIO BRAVO,RAÍZES DO LAR,VENTO DOURADO"</x:formula1>
    </x:dataValidation>
    <x:dataValidation type="list" allowBlank="0" showDropDown="0" sqref="E5:E104">
      <x:formula1>"SIM,NÃO"</x:formula1>
    </x:dataValidation>
  </x:dataValidations>
  <x:pageMargins left="0.7" right="0.7" top="0.75" bottom="0.75" header="0.3" footer="0.3"/>
</x:worksheet>
</file>